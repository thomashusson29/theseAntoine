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3 (3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<sst xmlns="http://schemas.openxmlformats.org/spreadsheetml/2006/main" count="1160" uniqueCount="420">
  <si>
    <t xml:space="preserve">initiales</t>
  </si>
  <si>
    <t xml:space="preserve">centre</t>
  </si>
  <si>
    <t xml:space="preserve">DDN</t>
  </si>
  <si>
    <t xml:space="preserve">age_année</t>
  </si>
  <si>
    <t xml:space="preserve">surg_date</t>
  </si>
  <si>
    <t xml:space="preserve">cause</t>
  </si>
  <si>
    <t xml:space="preserve">colite_clinique_YN</t>
  </si>
  <si>
    <t xml:space="preserve">colite_anapath</t>
  </si>
  <si>
    <t xml:space="preserve">sex_male</t>
  </si>
  <si>
    <t xml:space="preserve">sex</t>
  </si>
  <si>
    <t xml:space="preserve">poids_kg</t>
  </si>
  <si>
    <t xml:space="preserve">taille_cm</t>
  </si>
  <si>
    <t xml:space="preserve">BMI</t>
  </si>
  <si>
    <t xml:space="preserve">PS_anterieur</t>
  </si>
  <si>
    <t xml:space="preserve">date_admission_hopital</t>
  </si>
  <si>
    <t xml:space="preserve">date_e_rea</t>
  </si>
  <si>
    <t xml:space="preserve">date_s_rea</t>
  </si>
  <si>
    <t xml:space="preserve">date_s_hospit</t>
  </si>
  <si>
    <t xml:space="preserve">deces_hospit_YN</t>
  </si>
  <si>
    <t xml:space="preserve">deces_YN</t>
  </si>
  <si>
    <t xml:space="preserve">date_deces</t>
  </si>
  <si>
    <t xml:space="preserve">diagnostique</t>
  </si>
  <si>
    <t xml:space="preserve">date_diagnostique</t>
  </si>
  <si>
    <t xml:space="preserve">maladie_inaugurale_YN</t>
  </si>
  <si>
    <t xml:space="preserve">recodage_diag</t>
  </si>
  <si>
    <t xml:space="preserve">nombre_ligne_CT_total</t>
  </si>
  <si>
    <t xml:space="preserve">1ere_ligne_YN</t>
  </si>
  <si>
    <t xml:space="preserve">1ere_ligne</t>
  </si>
  <si>
    <t xml:space="preserve">2e_ligne_YN</t>
  </si>
  <si>
    <t xml:space="preserve">2e_ligne</t>
  </si>
  <si>
    <t xml:space="preserve">3e_ligne_YN</t>
  </si>
  <si>
    <t xml:space="preserve">3e_ligne</t>
  </si>
  <si>
    <t xml:space="preserve">4e_ligne_YN</t>
  </si>
  <si>
    <t xml:space="preserve">4e_ligne</t>
  </si>
  <si>
    <t xml:space="preserve">5e_ligne_YN</t>
  </si>
  <si>
    <t xml:space="preserve">5e_ligne</t>
  </si>
  <si>
    <t xml:space="preserve">6e_ligne_YN</t>
  </si>
  <si>
    <t xml:space="preserve">6e_ligne</t>
  </si>
  <si>
    <t xml:space="preserve">maladie_rechute_refractaire_YN</t>
  </si>
  <si>
    <t xml:space="preserve">date_derniere_CT</t>
  </si>
  <si>
    <t xml:space="preserve">protocole</t>
  </si>
  <si>
    <t xml:space="preserve">protocole_simplifie</t>
  </si>
  <si>
    <t xml:space="preserve">chimio_en_rea_YN</t>
  </si>
  <si>
    <t xml:space="preserve">hydrea_YN</t>
  </si>
  <si>
    <t xml:space="preserve">hydrea_debut</t>
  </si>
  <si>
    <t xml:space="preserve">hydrea_fin</t>
  </si>
  <si>
    <t xml:space="preserve">sels_platine_YN</t>
  </si>
  <si>
    <t xml:space="preserve">sels_platine_debut</t>
  </si>
  <si>
    <t xml:space="preserve">sels_platine_fin</t>
  </si>
  <si>
    <t xml:space="preserve">cytarabine_YN</t>
  </si>
  <si>
    <t xml:space="preserve">cytarabine_debut</t>
  </si>
  <si>
    <t xml:space="preserve">cytarabine_fin</t>
  </si>
  <si>
    <t xml:space="preserve">etoposide_YN</t>
  </si>
  <si>
    <t xml:space="preserve">etoposide_debut</t>
  </si>
  <si>
    <t xml:space="preserve">etoposide_fin</t>
  </si>
  <si>
    <t xml:space="preserve">gemcitabine_YN</t>
  </si>
  <si>
    <t xml:space="preserve">gemcitabine_debut</t>
  </si>
  <si>
    <t xml:space="preserve">gemcitabine_fin</t>
  </si>
  <si>
    <t xml:space="preserve">mithoxantrone_YN</t>
  </si>
  <si>
    <t xml:space="preserve">mithoxantron_debut</t>
  </si>
  <si>
    <t xml:space="preserve">mithoxantron_fin</t>
  </si>
  <si>
    <t xml:space="preserve">alcaloide_de_pervenche_YN</t>
  </si>
  <si>
    <t xml:space="preserve">alcaloide_de_pervenche_debut</t>
  </si>
  <si>
    <t xml:space="preserve">alcaloide_de_pervenche_fin</t>
  </si>
  <si>
    <t xml:space="preserve">taxane_YN</t>
  </si>
  <si>
    <t xml:space="preserve">taxane_debut</t>
  </si>
  <si>
    <t xml:space="preserve">taxane_fin</t>
  </si>
  <si>
    <t xml:space="preserve">anthracyclines_YN</t>
  </si>
  <si>
    <t xml:space="preserve">anthracyclines_debut</t>
  </si>
  <si>
    <t xml:space="preserve">anthracyclines_fin</t>
  </si>
  <si>
    <t xml:space="preserve">amsacrine_YN</t>
  </si>
  <si>
    <t xml:space="preserve">amsacrine_debut</t>
  </si>
  <si>
    <t xml:space="preserve">amsacrine_fin</t>
  </si>
  <si>
    <t xml:space="preserve">cyclophosphamide_YN</t>
  </si>
  <si>
    <t xml:space="preserve">cyclophosphamide_debut</t>
  </si>
  <si>
    <t xml:space="preserve">cyclophosphamide_fin</t>
  </si>
  <si>
    <t xml:space="preserve">melphalan_YN</t>
  </si>
  <si>
    <t xml:space="preserve">melphalan_debut</t>
  </si>
  <si>
    <t xml:space="preserve">melphalan_fin</t>
  </si>
  <si>
    <t xml:space="preserve">carmustine_YN</t>
  </si>
  <si>
    <t xml:space="preserve">carmustine_debut</t>
  </si>
  <si>
    <t xml:space="preserve">carmustine_fin</t>
  </si>
  <si>
    <t xml:space="preserve">bleomycine_YN</t>
  </si>
  <si>
    <t xml:space="preserve">bleomycine_debut</t>
  </si>
  <si>
    <t xml:space="preserve">bleomycine_fin</t>
  </si>
  <si>
    <t xml:space="preserve">VP16_YN</t>
  </si>
  <si>
    <t xml:space="preserve">VP16_debut</t>
  </si>
  <si>
    <t xml:space="preserve">VP16_fin</t>
  </si>
  <si>
    <t xml:space="preserve">5FU_YN</t>
  </si>
  <si>
    <t xml:space="preserve">5FU_debut</t>
  </si>
  <si>
    <t xml:space="preserve">5FU_fin</t>
  </si>
  <si>
    <t xml:space="preserve">MTX_YN</t>
  </si>
  <si>
    <t xml:space="preserve">MTX_debut</t>
  </si>
  <si>
    <t xml:space="preserve">MTX_fin</t>
  </si>
  <si>
    <t xml:space="preserve">asparaginase_YN</t>
  </si>
  <si>
    <t xml:space="preserve">asparaginase_debut</t>
  </si>
  <si>
    <t xml:space="preserve">asparaginase_fin</t>
  </si>
  <si>
    <t xml:space="preserve">mylotarg_YN</t>
  </si>
  <si>
    <t xml:space="preserve">mylotarg_debut</t>
  </si>
  <si>
    <t xml:space="preserve">mylotarg_fin</t>
  </si>
  <si>
    <t xml:space="preserve">CTC_YN</t>
  </si>
  <si>
    <t xml:space="preserve">rxtherapie_YN</t>
  </si>
  <si>
    <t xml:space="preserve">gilterinib_YN</t>
  </si>
  <si>
    <t xml:space="preserve">gilterinib_debut</t>
  </si>
  <si>
    <t xml:space="preserve">gilterinib_fin</t>
  </si>
  <si>
    <t xml:space="preserve">rixolutinib_YN</t>
  </si>
  <si>
    <t xml:space="preserve">rixolutinib_debut</t>
  </si>
  <si>
    <t xml:space="preserve">rituximab_YN</t>
  </si>
  <si>
    <t xml:space="preserve">greffe_YN</t>
  </si>
  <si>
    <t xml:space="preserve">date_greffe</t>
  </si>
  <si>
    <t xml:space="preserve">CCI1_Prior_Myocardial</t>
  </si>
  <si>
    <t xml:space="preserve">CCI1_Congestive_HF</t>
  </si>
  <si>
    <t xml:space="preserve">CCI1_Peripheral_vascular</t>
  </si>
  <si>
    <t xml:space="preserve">CCI1_Cerebrovascular_disease</t>
  </si>
  <si>
    <t xml:space="preserve">CCI1_Dementia</t>
  </si>
  <si>
    <t xml:space="preserve">CCI1_Chronic_pulmonary_disease</t>
  </si>
  <si>
    <t xml:space="preserve">CCI1_Rheumatologic_disease</t>
  </si>
  <si>
    <t xml:space="preserve">CCI1_Peptic_ulcer_disease</t>
  </si>
  <si>
    <t xml:space="preserve">CCI1_Mild_liver_disease_(legere)</t>
  </si>
  <si>
    <t xml:space="preserve">CCI1_Diabetes</t>
  </si>
  <si>
    <t xml:space="preserve">CCI2_cerebrovascular_hemiplegia_event</t>
  </si>
  <si>
    <t xml:space="preserve">CCI2_moderate_to_severe_renal_disease_DFG&gt;60</t>
  </si>
  <si>
    <t xml:space="preserve">CCI2_diabetes_chronic_complications</t>
  </si>
  <si>
    <t xml:space="preserve">CCI2_cancer_without_metastases</t>
  </si>
  <si>
    <t xml:space="preserve">CCI2_leukemia</t>
  </si>
  <si>
    <t xml:space="preserve">CCI2_lymphoma_myeloma</t>
  </si>
  <si>
    <t xml:space="preserve">CCI3_moderate_severe_liver_disease</t>
  </si>
  <si>
    <t xml:space="preserve">CCI6_metastatic_solid_tumor</t>
  </si>
  <si>
    <t xml:space="preserve">CCl6_AIDS</t>
  </si>
  <si>
    <t xml:space="preserve">Charlson_Comorbidity_total</t>
  </si>
  <si>
    <t xml:space="preserve">sepsis_preop_YN</t>
  </si>
  <si>
    <t xml:space="preserve">IRA_YN</t>
  </si>
  <si>
    <t xml:space="preserve">DRA_YN</t>
  </si>
  <si>
    <t xml:space="preserve">choc_YN</t>
  </si>
  <si>
    <t xml:space="preserve">deficit_neurologique_YN</t>
  </si>
  <si>
    <t xml:space="preserve">defaillance_hepatique_YN</t>
  </si>
  <si>
    <t xml:space="preserve">CIVD_YN</t>
  </si>
  <si>
    <t xml:space="preserve">sofa_respi</t>
  </si>
  <si>
    <t xml:space="preserve">sofa_coag</t>
  </si>
  <si>
    <t xml:space="preserve">sofa_cardiovasc</t>
  </si>
  <si>
    <t xml:space="preserve">sofa_SNC</t>
  </si>
  <si>
    <t xml:space="preserve">sofa_hepatique</t>
  </si>
  <si>
    <t xml:space="preserve">sofa_renal</t>
  </si>
  <si>
    <t xml:space="preserve">sofa_total</t>
  </si>
  <si>
    <t xml:space="preserve">q_sofa</t>
  </si>
  <si>
    <t xml:space="preserve">ventilation_mecanique_YN</t>
  </si>
  <si>
    <t xml:space="preserve">vm_debut</t>
  </si>
  <si>
    <t xml:space="preserve">vm_fin</t>
  </si>
  <si>
    <t xml:space="preserve">vm_duree_nb_jours</t>
  </si>
  <si>
    <t xml:space="preserve">lactate_mmol/L</t>
  </si>
  <si>
    <t xml:space="preserve">vasopresseur_YN</t>
  </si>
  <si>
    <t xml:space="preserve">vaso_debut</t>
  </si>
  <si>
    <t xml:space="preserve">vaso_fin</t>
  </si>
  <si>
    <t xml:space="preserve">vaso_duree_nb_jours</t>
  </si>
  <si>
    <t xml:space="preserve">EER_YN</t>
  </si>
  <si>
    <t xml:space="preserve">EER_debut</t>
  </si>
  <si>
    <t xml:space="preserve">EER_fin</t>
  </si>
  <si>
    <t xml:space="preserve">GCSF_YN</t>
  </si>
  <si>
    <t xml:space="preserve">GCSF_debut</t>
  </si>
  <si>
    <t xml:space="preserve">GCSF_fin</t>
  </si>
  <si>
    <t xml:space="preserve">GCSF_duree_nb_jours</t>
  </si>
  <si>
    <t xml:space="preserve">aplasie_YN</t>
  </si>
  <si>
    <t xml:space="preserve">aplasie_debut</t>
  </si>
  <si>
    <t xml:space="preserve">aplasie_fin</t>
  </si>
  <si>
    <t xml:space="preserve">aplasie_duree_nb_jours</t>
  </si>
  <si>
    <t xml:space="preserve">delai_aplasie_J1CT_nb_jours</t>
  </si>
  <si>
    <t xml:space="preserve">Hyperleucocytose_YN</t>
  </si>
  <si>
    <t xml:space="preserve">leucocytes_G/L</t>
  </si>
  <si>
    <t xml:space="preserve">Hb_preop_g/dL</t>
  </si>
  <si>
    <t xml:space="preserve">Hb_preopInf10_5_g/dL_YN</t>
  </si>
  <si>
    <t xml:space="preserve">AlbuminLevel_admission_g/L</t>
  </si>
  <si>
    <t xml:space="preserve">Albumin_sub35</t>
  </si>
  <si>
    <t xml:space="preserve">CRP_preop</t>
  </si>
  <si>
    <t xml:space="preserve">plaquettes_G/L</t>
  </si>
  <si>
    <t xml:space="preserve">endoscopie_YN</t>
  </si>
  <si>
    <t xml:space="preserve">endoscopie</t>
  </si>
  <si>
    <t xml:space="preserve">aspect_endoscopique</t>
  </si>
  <si>
    <t xml:space="preserve">date_debut_symptomes_episodes_actuel</t>
  </si>
  <si>
    <t xml:space="preserve">etat_general</t>
  </si>
  <si>
    <t xml:space="preserve">diarrhee_YN</t>
  </si>
  <si>
    <t xml:space="preserve">selles_nocturnes</t>
  </si>
  <si>
    <t xml:space="preserve">imodium</t>
  </si>
  <si>
    <t xml:space="preserve">defense_generalisee_YN</t>
  </si>
  <si>
    <t xml:space="preserve">douleur_localisee_cote</t>
  </si>
  <si>
    <t xml:space="preserve">vomissements_YN</t>
  </si>
  <si>
    <t xml:space="preserve">hemorragie_YN</t>
  </si>
  <si>
    <t xml:space="preserve">transfusion_YN</t>
  </si>
  <si>
    <t xml:space="preserve">occlusion_YN</t>
  </si>
  <si>
    <t xml:space="preserve">SNG_YN</t>
  </si>
  <si>
    <t xml:space="preserve">fievre_YN</t>
  </si>
  <si>
    <t xml:space="preserve">clostridium_YN</t>
  </si>
  <si>
    <t xml:space="preserve">TDM_topographie_colite</t>
  </si>
  <si>
    <t xml:space="preserve">colectasie_caecum_&gt;100mm_YN</t>
  </si>
  <si>
    <t xml:space="preserve">colectasie_transverse&gt;60mm_YN</t>
  </si>
  <si>
    <t xml:space="preserve">epaississement_parietal_TDM_YN</t>
  </si>
  <si>
    <t xml:space="preserve">hemorragie_digestive_grave_YN</t>
  </si>
  <si>
    <t xml:space="preserve">distension_grele_YN</t>
  </si>
  <si>
    <t xml:space="preserve">pneumatose_parietale_YN</t>
  </si>
  <si>
    <t xml:space="preserve">perforation_YN</t>
  </si>
  <si>
    <t xml:space="preserve">pneumoperitoine_YN</t>
  </si>
  <si>
    <t xml:space="preserve">infiltration_graisse_YN</t>
  </si>
  <si>
    <t xml:space="preserve">collection_abdo_YN</t>
  </si>
  <si>
    <t xml:space="preserve">epanchement_YN</t>
  </si>
  <si>
    <t xml:space="preserve">delai_chirurgie_diagnostic_jours</t>
  </si>
  <si>
    <t xml:space="preserve">laparoscopie_YN</t>
  </si>
  <si>
    <t xml:space="preserve">laparotomie_YN</t>
  </si>
  <si>
    <t xml:space="preserve">laparo_blanche_YN</t>
  </si>
  <si>
    <t xml:space="preserve">lavage_drainage_YN</t>
  </si>
  <si>
    <t xml:space="preserve">RIC_YN</t>
  </si>
  <si>
    <t xml:space="preserve">colectomie_subtotale_YN</t>
  </si>
  <si>
    <t xml:space="preserve">colectomie_droite_YN</t>
  </si>
  <si>
    <t xml:space="preserve">colectomie_gauche_YN</t>
  </si>
  <si>
    <t xml:space="preserve">intervention_hartmann_YN</t>
  </si>
  <si>
    <t xml:space="preserve">resection grelique</t>
  </si>
  <si>
    <t xml:space="preserve">moignon_rectal_YN</t>
  </si>
  <si>
    <t xml:space="preserve">ileostomie_YN</t>
  </si>
  <si>
    <t xml:space="preserve">colostomie_YN</t>
  </si>
  <si>
    <t xml:space="preserve">anastomose_YN</t>
  </si>
  <si>
    <t xml:space="preserve">drainage_YN</t>
  </si>
  <si>
    <t xml:space="preserve">geste_associe</t>
  </si>
  <si>
    <t xml:space="preserve">constatation_chirurgie</t>
  </si>
  <si>
    <t xml:space="preserve">plaie_digestive_perop_YN</t>
  </si>
  <si>
    <t xml:space="preserve">plaie_vasculaire_perop_YN</t>
  </si>
  <si>
    <t xml:space="preserve">other_intraop_complication</t>
  </si>
  <si>
    <t xml:space="preserve">other_intraop_complication_text</t>
  </si>
  <si>
    <t xml:space="preserve">hemorragie_perop_YN</t>
  </si>
  <si>
    <t xml:space="preserve">vasopresseur_per_op_YN</t>
  </si>
  <si>
    <t xml:space="preserve">vasopresseur_concentration_mg/h</t>
  </si>
  <si>
    <t xml:space="preserve">hb_per_op</t>
  </si>
  <si>
    <t xml:space="preserve">transfusion_perop_YN</t>
  </si>
  <si>
    <t xml:space="preserve">nb_CGR</t>
  </si>
  <si>
    <t xml:space="preserve">transfusion_PFC_YN</t>
  </si>
  <si>
    <t xml:space="preserve">PFC_nb</t>
  </si>
  <si>
    <t xml:space="preserve">transfusion_plaquettes_YN</t>
  </si>
  <si>
    <t xml:space="preserve">pq_nb</t>
  </si>
  <si>
    <t xml:space="preserve">anapath</t>
  </si>
  <si>
    <t xml:space="preserve">nutrition_parentérale</t>
  </si>
  <si>
    <t xml:space="preserve">nutrition_entérale</t>
  </si>
  <si>
    <t xml:space="preserve">ATB_YN</t>
  </si>
  <si>
    <t xml:space="preserve">imidazole</t>
  </si>
  <si>
    <t xml:space="preserve">ureidopenicilline</t>
  </si>
  <si>
    <t xml:space="preserve">carbapeneme</t>
  </si>
  <si>
    <t xml:space="preserve">C4G</t>
  </si>
  <si>
    <t xml:space="preserve">aminoside</t>
  </si>
  <si>
    <t xml:space="preserve">C3G</t>
  </si>
  <si>
    <t xml:space="preserve">glycopeptide</t>
  </si>
  <si>
    <t xml:space="preserve">vancomycine</t>
  </si>
  <si>
    <t xml:space="preserve">ATB_adapte_vanco</t>
  </si>
  <si>
    <t xml:space="preserve">ATB_adapte_amin</t>
  </si>
  <si>
    <t xml:space="preserve">ATF_proba</t>
  </si>
  <si>
    <t xml:space="preserve">ambisome</t>
  </si>
  <si>
    <t xml:space="preserve">echinocandine</t>
  </si>
  <si>
    <t xml:space="preserve">ATF_adapte</t>
  </si>
  <si>
    <t xml:space="preserve">doc_microbio</t>
  </si>
  <si>
    <t xml:space="preserve">CMV_YN</t>
  </si>
  <si>
    <t xml:space="preserve">bact1</t>
  </si>
  <si>
    <t xml:space="preserve">bact2</t>
  </si>
  <si>
    <t xml:space="preserve">bact_site</t>
  </si>
  <si>
    <t xml:space="preserve">champi</t>
  </si>
  <si>
    <t xml:space="preserve">champi_site</t>
  </si>
  <si>
    <t xml:space="preserve">ag_aspergillaire_YN</t>
  </si>
  <si>
    <t xml:space="preserve">complications_post_op </t>
  </si>
  <si>
    <t xml:space="preserve">sepsis_postop_YN</t>
  </si>
  <si>
    <t xml:space="preserve">anastomotic_leakage</t>
  </si>
  <si>
    <t xml:space="preserve">intraabdominal_abcess_or_collection</t>
  </si>
  <si>
    <t xml:space="preserve">Bleeding_YN</t>
  </si>
  <si>
    <t xml:space="preserve">intra_abdominal_hematoma</t>
  </si>
  <si>
    <t xml:space="preserve">wound_complication</t>
  </si>
  <si>
    <t xml:space="preserve">radiological_drainage_for_complication</t>
  </si>
  <si>
    <t xml:space="preserve">peritonite</t>
  </si>
  <si>
    <t xml:space="preserve">reoperation_for_complication</t>
  </si>
  <si>
    <t xml:space="preserve">details_reoperation_for_complication</t>
  </si>
  <si>
    <t xml:space="preserve">stoma_for_complication</t>
  </si>
  <si>
    <t xml:space="preserve">ileus</t>
  </si>
  <si>
    <t xml:space="preserve">stoma_related_complication</t>
  </si>
  <si>
    <t xml:space="preserve">anastomotic_bleeding</t>
  </si>
  <si>
    <t xml:space="preserve">anemia_transfusion</t>
  </si>
  <si>
    <t xml:space="preserve">infection_urinaire</t>
  </si>
  <si>
    <t xml:space="preserve">insuffisance_renale</t>
  </si>
  <si>
    <t xml:space="preserve">acute_urinary_retention</t>
  </si>
  <si>
    <t xml:space="preserve">pneumopathie</t>
  </si>
  <si>
    <t xml:space="preserve">MTEV</t>
  </si>
  <si>
    <t xml:space="preserve">catheter_infection</t>
  </si>
  <si>
    <t xml:space="preserve">dehydratation_IV_fluids</t>
  </si>
  <si>
    <t xml:space="preserve">poor_control_of_pain</t>
  </si>
  <si>
    <t xml:space="preserve">other_sepsis</t>
  </si>
  <si>
    <t xml:space="preserve">ClavienDindo</t>
  </si>
  <si>
    <t xml:space="preserve">Medical_complications</t>
  </si>
  <si>
    <t xml:space="preserve">all_septic</t>
  </si>
  <si>
    <t xml:space="preserve">readmission_within_30d</t>
  </si>
  <si>
    <t xml:space="preserve">retablissement_YN</t>
  </si>
  <si>
    <t xml:space="preserve">date_retablissement</t>
  </si>
  <si>
    <t xml:space="preserve">remission_maladie_6mois_YN</t>
  </si>
  <si>
    <t xml:space="preserve">remission_maladie_1an_YN</t>
  </si>
  <si>
    <t xml:space="preserve">rechute_maladie_6mois_YN</t>
  </si>
  <si>
    <t xml:space="preserve">rechute_maladie_1an_YN</t>
  </si>
  <si>
    <t xml:space="preserve">maladie_refractaire_1an_YN</t>
  </si>
  <si>
    <t xml:space="preserve">last_news</t>
  </si>
  <si>
    <t xml:space="preserve">AT</t>
  </si>
  <si>
    <t xml:space="preserve">SLS</t>
  </si>
  <si>
    <t xml:space="preserve">hemorragie digestive</t>
  </si>
  <si>
    <t xml:space="preserve">X</t>
  </si>
  <si>
    <t xml:space="preserve">F</t>
  </si>
  <si>
    <t xml:space="preserve">LAM hyperleucocytaire</t>
  </si>
  <si>
    <t xml:space="preserve">LAM </t>
  </si>
  <si>
    <t xml:space="preserve">HYDREA</t>
  </si>
  <si>
    <t xml:space="preserve">daunorubicine + aracytine </t>
  </si>
  <si>
    <t xml:space="preserve">3+7</t>
  </si>
  <si>
    <t xml:space="preserve">Endoscopie pré-op</t>
  </si>
  <si>
    <t xml:space="preserve">colite</t>
  </si>
  <si>
    <t xml:space="preserve">2_Bon</t>
  </si>
  <si>
    <t xml:space="preserve">0_Non</t>
  </si>
  <si>
    <t xml:space="preserve">E6pancolite</t>
  </si>
  <si>
    <t xml:space="preserve">saignement intra digestif</t>
  </si>
  <si>
    <t xml:space="preserve">thrombopenie refractaire </t>
  </si>
  <si>
    <t xml:space="preserve">deces après rechute réfractaire à 2 ans </t>
  </si>
  <si>
    <t xml:space="preserve">AC</t>
  </si>
  <si>
    <t xml:space="preserve">sepsis incontrole</t>
  </si>
  <si>
    <t xml:space="preserve">mucormycose invasive colique </t>
  </si>
  <si>
    <t xml:space="preserve">Lymphome B diffus a grandes cellules</t>
  </si>
  <si>
    <t xml:space="preserve">Lymphome</t>
  </si>
  <si>
    <t xml:space="preserve">ACVBP</t>
  </si>
  <si>
    <t xml:space="preserve">Doxorubicin, cyclophosphamide, vindesine, bleomycin, prednisone</t>
  </si>
  <si>
    <t xml:space="preserve">Endoscopie post op</t>
  </si>
  <si>
    <t xml:space="preserve">ucération sigmoïde et rectum</t>
  </si>
  <si>
    <t xml:space="preserve">3_Moyen</t>
  </si>
  <si>
    <t xml:space="preserve">diffuse</t>
  </si>
  <si>
    <t xml:space="preserve">E4colon droit</t>
  </si>
  <si>
    <t xml:space="preserve">Pas de souffrance colique ni grêlique </t>
  </si>
  <si>
    <t xml:space="preserve">E coli</t>
  </si>
  <si>
    <t xml:space="preserve">Sang </t>
  </si>
  <si>
    <t xml:space="preserve">colon + sang</t>
  </si>
  <si>
    <t xml:space="preserve">deces </t>
  </si>
  <si>
    <t xml:space="preserve">Hartmann</t>
  </si>
  <si>
    <t xml:space="preserve">deces apres hartmann pour colite grave ( 1.5 mois apres 1er chirurgie toujours en rea )</t>
  </si>
  <si>
    <t xml:space="preserve">MMC</t>
  </si>
  <si>
    <t xml:space="preserve">Colite neutropenique </t>
  </si>
  <si>
    <t xml:space="preserve">ischemique et hemorragique </t>
  </si>
  <si>
    <t xml:space="preserve">Adenocarcinome du sein</t>
  </si>
  <si>
    <t xml:space="preserve">Solide</t>
  </si>
  <si>
    <t xml:space="preserve">5FU + vinorelbine</t>
  </si>
  <si>
    <t xml:space="preserve">FUN</t>
  </si>
  <si>
    <t xml:space="preserve">Pas d'endoscopie</t>
  </si>
  <si>
    <t xml:space="preserve">E5caecum</t>
  </si>
  <si>
    <t xml:space="preserve">necrose ileocaecale sans peritonite</t>
  </si>
  <si>
    <t xml:space="preserve">necrose ileocaecale ischemique et hemorragique</t>
  </si>
  <si>
    <t xml:space="preserve">clostridium septicum</t>
  </si>
  <si>
    <t xml:space="preserve">sang</t>
  </si>
  <si>
    <t xml:space="preserve">deces</t>
  </si>
  <si>
    <t xml:space="preserve">deces post operatoire de defaillance multi-viscerale</t>
  </si>
  <si>
    <t xml:space="preserve">CM</t>
  </si>
  <si>
    <t xml:space="preserve">H</t>
  </si>
  <si>
    <t xml:space="preserve">Leucemie aigue lymphoblastique T</t>
  </si>
  <si>
    <t xml:space="preserve">LAL T</t>
  </si>
  <si>
    <t xml:space="preserve">GRALL 14</t>
  </si>
  <si>
    <t xml:space="preserve">Prednison, vincristine, daunoribicine, cyclophosphamide, asparaginase</t>
  </si>
  <si>
    <t xml:space="preserve">GRALL 2014</t>
  </si>
  <si>
    <t xml:space="preserve">epigastre </t>
  </si>
  <si>
    <t xml:space="preserve">absence</t>
  </si>
  <si>
    <t xml:space="preserve">deces apres GVH myocradique post allogreffe ( 8 ans apres chirurgie ) </t>
  </si>
  <si>
    <t xml:space="preserve">AM</t>
  </si>
  <si>
    <t xml:space="preserve">neutropenique</t>
  </si>
  <si>
    <t xml:space="preserve">LAM compliquant myélofibrose</t>
  </si>
  <si>
    <t xml:space="preserve">Idarubicine + aracytine</t>
  </si>
  <si>
    <t xml:space="preserve">HDAC</t>
  </si>
  <si>
    <t xml:space="preserve">aracytine forte dose</t>
  </si>
  <si>
    <t xml:space="preserve">droite</t>
  </si>
  <si>
    <t xml:space="preserve">colite neutropenique</t>
  </si>
  <si>
    <t xml:space="preserve">E faecium</t>
  </si>
  <si>
    <t xml:space="preserve">S haemoliticus</t>
  </si>
  <si>
    <t xml:space="preserve">abces</t>
  </si>
  <si>
    <t xml:space="preserve">deces apres rechute post allogreffe ( sortie d'hospit )</t>
  </si>
  <si>
    <t xml:space="preserve">JVM</t>
  </si>
  <si>
    <t xml:space="preserve">neutropenique </t>
  </si>
  <si>
    <t xml:space="preserve">LAM</t>
  </si>
  <si>
    <t xml:space="preserve">daunorubicine + cytarabine</t>
  </si>
  <si>
    <t xml:space="preserve">ulcérations superficielles</t>
  </si>
  <si>
    <t xml:space="preserve">1_Oui</t>
  </si>
  <si>
    <t xml:space="preserve">Clostridium tertium</t>
  </si>
  <si>
    <t xml:space="preserve">degradatation clinique </t>
  </si>
  <si>
    <t xml:space="preserve">lavage+drainage puis splénectomie </t>
  </si>
  <si>
    <t xml:space="preserve">vivant apres greffe </t>
  </si>
  <si>
    <t xml:space="preserve">GG</t>
  </si>
  <si>
    <t xml:space="preserve">Lymphome de Poppema</t>
  </si>
  <si>
    <t xml:space="preserve">Lymphome de Hodgkin</t>
  </si>
  <si>
    <t xml:space="preserve">CVP</t>
  </si>
  <si>
    <t xml:space="preserve">R-ABV</t>
  </si>
  <si>
    <t xml:space="preserve">OEPA + COPDAC </t>
  </si>
  <si>
    <t xml:space="preserve">IGEV</t>
  </si>
  <si>
    <t xml:space="preserve">DHAP</t>
  </si>
  <si>
    <t xml:space="preserve">BEAM + autogreffe</t>
  </si>
  <si>
    <t xml:space="preserve">carmustine, etoposide, aracytine et melphalan</t>
  </si>
  <si>
    <t xml:space="preserve">BEAM</t>
  </si>
  <si>
    <t xml:space="preserve">4_Mauvais</t>
  </si>
  <si>
    <t xml:space="preserve">pseudomonas aeruginosa</t>
  </si>
  <si>
    <t xml:space="preserve">per op </t>
  </si>
  <si>
    <t xml:space="preserve">deces apres sepsis digestif et agranulocytose ( apres sortie de rea )</t>
  </si>
  <si>
    <t xml:space="preserve">SE</t>
  </si>
  <si>
    <t xml:space="preserve">hematome</t>
  </si>
  <si>
    <t xml:space="preserve">hemostase</t>
  </si>
  <si>
    <t xml:space="preserve">remission </t>
  </si>
  <si>
    <t xml:space="preserve">EFR</t>
  </si>
  <si>
    <t xml:space="preserve">Lymphome B diffus à grandes cellules </t>
  </si>
  <si>
    <t xml:space="preserve">HYDREA </t>
  </si>
  <si>
    <t xml:space="preserve">1_Très bon</t>
  </si>
  <si>
    <t xml:space="preserve">packing hépatique </t>
  </si>
  <si>
    <t xml:space="preserve">plaie hepatique</t>
  </si>
  <si>
    <t xml:space="preserve">clostridium difficile</t>
  </si>
  <si>
    <t xml:space="preserve">deces apres defaillance multiviscerale et sepsis digestif</t>
  </si>
  <si>
    <t xml:space="preserve">IEB</t>
  </si>
  <si>
    <t xml:space="preserve">LAM 4</t>
  </si>
  <si>
    <t xml:space="preserve">cholecystectomie </t>
  </si>
  <si>
    <t xml:space="preserve">Bacteroides Ovatus</t>
  </si>
  <si>
    <t xml:space="preserve">hemoperitoine</t>
  </si>
  <si>
    <t xml:space="preserve">exploration</t>
  </si>
  <si>
    <t xml:space="preserve">MR</t>
  </si>
  <si>
    <t xml:space="preserve">HYDREA + Gilteritinib </t>
  </si>
  <si>
    <t xml:space="preserve">daunorubicine + cytarabine </t>
  </si>
  <si>
    <t xml:space="preserve">collection intra abdominale</t>
  </si>
  <si>
    <t xml:space="preserve">allo greffe + TIPS pour sd hepato-renal du à chimiotherapie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</si>
</sst>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dd/mm/yyyy"/>
    <numFmt numFmtId="167" formatCode="#,##0.00"/>
    <numFmt numFmtId="168" formatCode="@"/>
    <numFmt numFmtId="169" formatCode="d/m/yyyy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theme="1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3D85C6"/>
        <bgColor rgb="FF339966"/>
      </patternFill>
    </fill>
    <fill>
      <patternFill patternType="solid">
        <fgColor rgb="FFD9D9D9"/>
        <bgColor rgb="FFD9D2E9"/>
      </patternFill>
    </fill>
    <fill>
      <patternFill patternType="solid">
        <fgColor rgb="FFFF9900"/>
        <bgColor rgb="FFE69138"/>
      </patternFill>
    </fill>
    <fill>
      <patternFill patternType="solid">
        <fgColor rgb="FFD9D2E9"/>
        <bgColor rgb="FFD9D9D9"/>
      </patternFill>
    </fill>
    <fill>
      <patternFill patternType="solid">
        <fgColor rgb="FFE06666"/>
        <bgColor rgb="FFE69138"/>
      </patternFill>
    </fill>
    <fill>
      <patternFill patternType="solid">
        <fgColor rgb="FFD9EAD3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rgb="FFFFD966"/>
        <bgColor rgb="FFFFFF99"/>
      </patternFill>
    </fill>
    <fill>
      <patternFill patternType="solid">
        <fgColor rgb="FF38761D"/>
        <bgColor rgb="FF339966"/>
      </patternFill>
    </fill>
    <fill>
      <patternFill patternType="solid">
        <fgColor rgb="FFFFF2CC"/>
        <bgColor rgb="FFFFFFFF"/>
      </patternFill>
    </fill>
    <fill>
      <patternFill patternType="solid">
        <fgColor rgb="FFE69138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1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11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1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CCFFFF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D966"/>
      <rgbColor rgb="FF3D85C6"/>
      <rgbColor rgb="FF33CCCC"/>
      <rgbColor rgb="FF99CC00"/>
      <rgbColor rgb="FFFFCC00"/>
      <rgbColor rgb="FFFF9900"/>
      <rgbColor rgb="FFE691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L12"/>
  <sheetViews>
    <sheetView showFormulas="false" showGridLines="true" showRowColHeaders="true" showZeros="true" rightToLeft="false" tabSelected="true" showOutlineSymbols="true" defaultGridColor="true" view="normal" topLeftCell="I1" colorId="64" zoomScale="96" zoomScaleNormal="96" zoomScalePageLayoutView="100" workbookViewId="0">
      <pane xSplit="0" ySplit="1" topLeftCell="A2" activePane="bottomLeft" state="frozen"/>
      <selection pane="topLeft" activeCell="I1" activeCellId="0" sqref="I1"/>
      <selection pane="bottomLeft" activeCell="S11" activeCellId="0" sqref="S11"/>
    </sheetView>
  </sheetViews>
  <sheetFormatPr defaultColWidth="11.16796875" defaultRowHeight="15" customHeight="true" zeroHeight="false" outlineLevelRow="0" outlineLevelCol="0"/>
  <cols>
    <col collapsed="false" customWidth="true" hidden="false" outlineLevel="0" max="4" min="1" style="0" width="14.67"/>
    <col collapsed="false" customWidth="true" hidden="false" outlineLevel="0" max="21" min="5" style="0" width="10.5"/>
    <col collapsed="false" customWidth="true" hidden="false" outlineLevel="0" max="22" min="22" style="0" width="21"/>
    <col collapsed="false" customWidth="true" hidden="false" outlineLevel="0" max="175" min="23" style="0" width="10.5"/>
    <col collapsed="false" customWidth="true" hidden="false" outlineLevel="0" max="176" min="176" style="0" width="25"/>
    <col collapsed="false" customWidth="true" hidden="false" outlineLevel="0" max="286" min="177" style="0" width="10.5"/>
    <col collapsed="false" customWidth="true" hidden="false" outlineLevel="0" max="287" min="287" style="1" width="10.5"/>
    <col collapsed="false" customWidth="true" hidden="false" outlineLevel="0" max="298" min="288" style="0" width="10.5"/>
  </cols>
  <sheetData>
    <row r="1" s="38" customFormat="true" ht="51.3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7" t="s">
        <v>59</v>
      </c>
      <c r="BI1" s="7" t="s">
        <v>60</v>
      </c>
      <c r="BJ1" s="7" t="s">
        <v>61</v>
      </c>
      <c r="BK1" s="5" t="s">
        <v>62</v>
      </c>
      <c r="BL1" s="8" t="s">
        <v>63</v>
      </c>
      <c r="BM1" s="8" t="s">
        <v>64</v>
      </c>
      <c r="BN1" s="9" t="s">
        <v>65</v>
      </c>
      <c r="BO1" s="9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6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8" t="s">
        <v>80</v>
      </c>
      <c r="CD1" s="8" t="s">
        <v>81</v>
      </c>
      <c r="CE1" s="8" t="s">
        <v>82</v>
      </c>
      <c r="CF1" s="9" t="s">
        <v>83</v>
      </c>
      <c r="CG1" s="9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10" t="s">
        <v>89</v>
      </c>
      <c r="CM1" s="10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11" t="s">
        <v>110</v>
      </c>
      <c r="DH1" s="11" t="s">
        <v>111</v>
      </c>
      <c r="DI1" s="11" t="s">
        <v>112</v>
      </c>
      <c r="DJ1" s="11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1" t="s">
        <v>126</v>
      </c>
      <c r="DX1" s="11" t="s">
        <v>127</v>
      </c>
      <c r="DY1" s="11" t="s">
        <v>128</v>
      </c>
      <c r="DZ1" s="11" t="s">
        <v>129</v>
      </c>
      <c r="EA1" s="13" t="s">
        <v>130</v>
      </c>
      <c r="EB1" s="13" t="s">
        <v>131</v>
      </c>
      <c r="EC1" s="13" t="s">
        <v>132</v>
      </c>
      <c r="ED1" s="13" t="s">
        <v>133</v>
      </c>
      <c r="EE1" s="13" t="s">
        <v>134</v>
      </c>
      <c r="EF1" s="13" t="s">
        <v>135</v>
      </c>
      <c r="EG1" s="13" t="s">
        <v>136</v>
      </c>
      <c r="EH1" s="13" t="s">
        <v>137</v>
      </c>
      <c r="EI1" s="13" t="s">
        <v>138</v>
      </c>
      <c r="EJ1" s="13" t="s">
        <v>139</v>
      </c>
      <c r="EK1" s="13" t="s">
        <v>140</v>
      </c>
      <c r="EL1" s="13" t="s">
        <v>141</v>
      </c>
      <c r="EM1" s="13" t="s">
        <v>142</v>
      </c>
      <c r="EN1" s="13" t="s">
        <v>143</v>
      </c>
      <c r="EO1" s="13" t="s">
        <v>144</v>
      </c>
      <c r="EP1" s="13" t="s">
        <v>145</v>
      </c>
      <c r="EQ1" s="14" t="s">
        <v>146</v>
      </c>
      <c r="ER1" s="14" t="s">
        <v>147</v>
      </c>
      <c r="ES1" s="14" t="s">
        <v>148</v>
      </c>
      <c r="ET1" s="14" t="s">
        <v>149</v>
      </c>
      <c r="EU1" s="14" t="s">
        <v>150</v>
      </c>
      <c r="EV1" s="14" t="s">
        <v>151</v>
      </c>
      <c r="EW1" s="14" t="s">
        <v>152</v>
      </c>
      <c r="EX1" s="14" t="s">
        <v>153</v>
      </c>
      <c r="EY1" s="14" t="s">
        <v>154</v>
      </c>
      <c r="EZ1" s="14" t="s">
        <v>155</v>
      </c>
      <c r="FA1" s="14" t="s">
        <v>156</v>
      </c>
      <c r="FB1" s="14" t="s">
        <v>157</v>
      </c>
      <c r="FC1" s="14" t="s">
        <v>158</v>
      </c>
      <c r="FD1" s="14" t="s">
        <v>159</v>
      </c>
      <c r="FE1" s="14" t="s">
        <v>160</v>
      </c>
      <c r="FF1" s="14" t="s">
        <v>161</v>
      </c>
      <c r="FG1" s="14" t="s">
        <v>162</v>
      </c>
      <c r="FH1" s="14" t="s">
        <v>163</v>
      </c>
      <c r="FI1" s="14" t="s">
        <v>164</v>
      </c>
      <c r="FJ1" s="14" t="s">
        <v>165</v>
      </c>
      <c r="FK1" s="14" t="s">
        <v>166</v>
      </c>
      <c r="FL1" s="14" t="s">
        <v>167</v>
      </c>
      <c r="FM1" s="13" t="s">
        <v>168</v>
      </c>
      <c r="FN1" s="14" t="s">
        <v>169</v>
      </c>
      <c r="FO1" s="15" t="s">
        <v>170</v>
      </c>
      <c r="FP1" s="13" t="s">
        <v>171</v>
      </c>
      <c r="FQ1" s="14" t="s">
        <v>172</v>
      </c>
      <c r="FR1" s="14" t="s">
        <v>173</v>
      </c>
      <c r="FS1" s="14" t="s">
        <v>174</v>
      </c>
      <c r="FT1" s="14" t="s">
        <v>175</v>
      </c>
      <c r="FU1" s="14" t="s">
        <v>176</v>
      </c>
      <c r="FV1" s="16" t="s">
        <v>177</v>
      </c>
      <c r="FW1" s="16" t="s">
        <v>178</v>
      </c>
      <c r="FX1" s="17" t="s">
        <v>179</v>
      </c>
      <c r="FY1" s="18" t="s">
        <v>180</v>
      </c>
      <c r="FZ1" s="16" t="s">
        <v>181</v>
      </c>
      <c r="GA1" s="17" t="s">
        <v>182</v>
      </c>
      <c r="GB1" s="17" t="s">
        <v>183</v>
      </c>
      <c r="GC1" s="17" t="s">
        <v>184</v>
      </c>
      <c r="GD1" s="17" t="s">
        <v>185</v>
      </c>
      <c r="GE1" s="17" t="s">
        <v>186</v>
      </c>
      <c r="GF1" s="17" t="s">
        <v>187</v>
      </c>
      <c r="GG1" s="17" t="s">
        <v>188</v>
      </c>
      <c r="GH1" s="17" t="s">
        <v>189</v>
      </c>
      <c r="GI1" s="16" t="s">
        <v>190</v>
      </c>
      <c r="GJ1" s="19" t="s">
        <v>191</v>
      </c>
      <c r="GK1" s="20" t="s">
        <v>192</v>
      </c>
      <c r="GL1" s="20" t="s">
        <v>193</v>
      </c>
      <c r="GM1" s="21" t="s">
        <v>194</v>
      </c>
      <c r="GN1" s="20" t="s">
        <v>195</v>
      </c>
      <c r="GO1" s="21" t="s">
        <v>196</v>
      </c>
      <c r="GP1" s="21" t="s">
        <v>197</v>
      </c>
      <c r="GQ1" s="20" t="s">
        <v>198</v>
      </c>
      <c r="GR1" s="21" t="s">
        <v>199</v>
      </c>
      <c r="GS1" s="21" t="s">
        <v>200</v>
      </c>
      <c r="GT1" s="21" t="s">
        <v>201</v>
      </c>
      <c r="GU1" s="21" t="s">
        <v>202</v>
      </c>
      <c r="GV1" s="22" t="s">
        <v>203</v>
      </c>
      <c r="GW1" s="22" t="s">
        <v>204</v>
      </c>
      <c r="GX1" s="23" t="s">
        <v>205</v>
      </c>
      <c r="GY1" s="23" t="s">
        <v>206</v>
      </c>
      <c r="GZ1" s="23" t="s">
        <v>207</v>
      </c>
      <c r="HA1" s="23" t="s">
        <v>208</v>
      </c>
      <c r="HB1" s="23" t="s">
        <v>209</v>
      </c>
      <c r="HC1" s="23" t="s">
        <v>210</v>
      </c>
      <c r="HD1" s="23" t="s">
        <v>211</v>
      </c>
      <c r="HE1" s="23" t="s">
        <v>212</v>
      </c>
      <c r="HF1" s="23" t="s">
        <v>213</v>
      </c>
      <c r="HG1" s="23" t="s">
        <v>214</v>
      </c>
      <c r="HH1" s="23" t="s">
        <v>215</v>
      </c>
      <c r="HI1" s="23" t="s">
        <v>216</v>
      </c>
      <c r="HJ1" s="24" t="s">
        <v>217</v>
      </c>
      <c r="HK1" s="24" t="s">
        <v>218</v>
      </c>
      <c r="HL1" s="24" t="s">
        <v>219</v>
      </c>
      <c r="HM1" s="24" t="s">
        <v>220</v>
      </c>
      <c r="HN1" s="25" t="s">
        <v>221</v>
      </c>
      <c r="HO1" s="25" t="s">
        <v>222</v>
      </c>
      <c r="HP1" s="26" t="s">
        <v>223</v>
      </c>
      <c r="HQ1" s="27" t="s">
        <v>224</v>
      </c>
      <c r="HR1" s="25" t="s">
        <v>225</v>
      </c>
      <c r="HS1" s="28" t="s">
        <v>226</v>
      </c>
      <c r="HT1" s="28" t="s">
        <v>227</v>
      </c>
      <c r="HU1" s="29" t="s">
        <v>228</v>
      </c>
      <c r="HV1" s="29" t="s">
        <v>229</v>
      </c>
      <c r="HW1" s="29" t="s">
        <v>230</v>
      </c>
      <c r="HX1" s="29" t="s">
        <v>231</v>
      </c>
      <c r="HY1" s="29" t="s">
        <v>232</v>
      </c>
      <c r="HZ1" s="29" t="s">
        <v>233</v>
      </c>
      <c r="IA1" s="29" t="s">
        <v>234</v>
      </c>
      <c r="IB1" s="29" t="s">
        <v>235</v>
      </c>
      <c r="IC1" s="29" t="s">
        <v>236</v>
      </c>
      <c r="ID1" s="29" t="s">
        <v>237</v>
      </c>
      <c r="IE1" s="30" t="s">
        <v>238</v>
      </c>
      <c r="IF1" s="30" t="s">
        <v>239</v>
      </c>
      <c r="IG1" s="30" t="s">
        <v>240</v>
      </c>
      <c r="IH1" s="30" t="s">
        <v>241</v>
      </c>
      <c r="II1" s="30" t="s">
        <v>242</v>
      </c>
      <c r="IJ1" s="30" t="s">
        <v>243</v>
      </c>
      <c r="IK1" s="30" t="s">
        <v>244</v>
      </c>
      <c r="IL1" s="30" t="s">
        <v>245</v>
      </c>
      <c r="IM1" s="30" t="s">
        <v>246</v>
      </c>
      <c r="IN1" s="30" t="s">
        <v>247</v>
      </c>
      <c r="IO1" s="30" t="s">
        <v>248</v>
      </c>
      <c r="IP1" s="30" t="s">
        <v>249</v>
      </c>
      <c r="IQ1" s="30" t="s">
        <v>250</v>
      </c>
      <c r="IR1" s="30" t="s">
        <v>251</v>
      </c>
      <c r="IS1" s="30" t="s">
        <v>252</v>
      </c>
      <c r="IT1" s="30" t="s">
        <v>253</v>
      </c>
      <c r="IU1" s="30" t="s">
        <v>254</v>
      </c>
      <c r="IV1" s="30" t="s">
        <v>255</v>
      </c>
      <c r="IW1" s="30" t="s">
        <v>256</v>
      </c>
      <c r="IX1" s="30" t="s">
        <v>257</v>
      </c>
      <c r="IY1" s="30" t="s">
        <v>258</v>
      </c>
      <c r="IZ1" s="30" t="s">
        <v>259</v>
      </c>
      <c r="JA1" s="31" t="s">
        <v>260</v>
      </c>
      <c r="JB1" s="32" t="s">
        <v>261</v>
      </c>
      <c r="JC1" s="33" t="s">
        <v>262</v>
      </c>
      <c r="JD1" s="33" t="s">
        <v>263</v>
      </c>
      <c r="JE1" s="33" t="s">
        <v>264</v>
      </c>
      <c r="JF1" s="33" t="s">
        <v>265</v>
      </c>
      <c r="JG1" s="33" t="s">
        <v>266</v>
      </c>
      <c r="JH1" s="33" t="s">
        <v>267</v>
      </c>
      <c r="JI1" s="33" t="s">
        <v>268</v>
      </c>
      <c r="JJ1" s="33" t="s">
        <v>269</v>
      </c>
      <c r="JK1" s="33" t="s">
        <v>270</v>
      </c>
      <c r="JL1" s="32" t="s">
        <v>271</v>
      </c>
      <c r="JM1" s="33" t="s">
        <v>272</v>
      </c>
      <c r="JN1" s="33" t="s">
        <v>273</v>
      </c>
      <c r="JO1" s="33" t="s">
        <v>274</v>
      </c>
      <c r="JP1" s="33" t="s">
        <v>275</v>
      </c>
      <c r="JQ1" s="33" t="s">
        <v>276</v>
      </c>
      <c r="JR1" s="33" t="s">
        <v>277</v>
      </c>
      <c r="JS1" s="33" t="s">
        <v>278</v>
      </c>
      <c r="JT1" s="33" t="s">
        <v>279</v>
      </c>
      <c r="JU1" s="33" t="s">
        <v>280</v>
      </c>
      <c r="JV1" s="33" t="s">
        <v>281</v>
      </c>
      <c r="JW1" s="33" t="s">
        <v>282</v>
      </c>
      <c r="JX1" s="33" t="s">
        <v>283</v>
      </c>
      <c r="JY1" s="33" t="s">
        <v>284</v>
      </c>
      <c r="JZ1" s="33" t="s">
        <v>285</v>
      </c>
      <c r="KA1" s="34" t="s">
        <v>286</v>
      </c>
      <c r="KB1" s="35" t="s">
        <v>287</v>
      </c>
      <c r="KC1" s="35" t="s">
        <v>288</v>
      </c>
      <c r="KD1" s="35" t="s">
        <v>289</v>
      </c>
      <c r="KE1" s="36" t="s">
        <v>290</v>
      </c>
      <c r="KF1" s="36" t="s">
        <v>291</v>
      </c>
      <c r="KG1" s="36" t="s">
        <v>292</v>
      </c>
      <c r="KH1" s="36" t="s">
        <v>293</v>
      </c>
      <c r="KI1" s="36" t="s">
        <v>294</v>
      </c>
      <c r="KJ1" s="36" t="s">
        <v>295</v>
      </c>
      <c r="KK1" s="36" t="s">
        <v>296</v>
      </c>
      <c r="KL1" s="37" t="s">
        <v>297</v>
      </c>
    </row>
    <row r="2" customFormat="false" ht="15.75" hidden="false" customHeight="true" outlineLevel="0" collapsed="false">
      <c r="A2" s="39" t="s">
        <v>298</v>
      </c>
      <c r="B2" s="39" t="s">
        <v>299</v>
      </c>
      <c r="C2" s="40" t="n">
        <v>26781</v>
      </c>
      <c r="D2" s="41" t="n">
        <f aca="false">DATEDIF(C2,E2,"y")</f>
        <v>36</v>
      </c>
      <c r="E2" s="40" t="n">
        <v>40294</v>
      </c>
      <c r="F2" s="39" t="s">
        <v>300</v>
      </c>
      <c r="G2" s="42" t="n">
        <v>0</v>
      </c>
      <c r="H2" s="39" t="s">
        <v>301</v>
      </c>
      <c r="I2" s="42" t="n">
        <v>0</v>
      </c>
      <c r="J2" s="39" t="s">
        <v>302</v>
      </c>
      <c r="K2" s="42" t="n">
        <v>63</v>
      </c>
      <c r="L2" s="42" t="n">
        <v>173</v>
      </c>
      <c r="M2" s="42" t="n">
        <f aca="false">K2/(L2/100)^2</f>
        <v>21.0498179023689</v>
      </c>
      <c r="N2" s="41" t="n">
        <v>2</v>
      </c>
      <c r="O2" s="43" t="n">
        <v>40267</v>
      </c>
      <c r="P2" s="43" t="n">
        <v>40267</v>
      </c>
      <c r="Q2" s="43" t="n">
        <v>40294</v>
      </c>
      <c r="R2" s="43" t="n">
        <v>40336</v>
      </c>
      <c r="S2" s="41" t="n">
        <v>0</v>
      </c>
      <c r="T2" s="41" t="n">
        <v>1</v>
      </c>
      <c r="U2" s="43" t="n">
        <v>42730</v>
      </c>
      <c r="V2" s="41" t="s">
        <v>303</v>
      </c>
      <c r="W2" s="43" t="n">
        <v>40266</v>
      </c>
      <c r="X2" s="41" t="n">
        <v>1</v>
      </c>
      <c r="Y2" s="41" t="s">
        <v>304</v>
      </c>
      <c r="Z2" s="41" t="n">
        <v>1</v>
      </c>
      <c r="AA2" s="41" t="n">
        <v>1</v>
      </c>
      <c r="AB2" s="41" t="s">
        <v>305</v>
      </c>
      <c r="AC2" s="41" t="n">
        <v>1</v>
      </c>
      <c r="AD2" s="41" t="s">
        <v>306</v>
      </c>
      <c r="AE2" s="41" t="n">
        <v>0</v>
      </c>
      <c r="AF2" s="41" t="s">
        <v>301</v>
      </c>
      <c r="AG2" s="41" t="n">
        <v>0</v>
      </c>
      <c r="AH2" s="41" t="s">
        <v>301</v>
      </c>
      <c r="AI2" s="41" t="n">
        <v>0</v>
      </c>
      <c r="AJ2" s="41" t="s">
        <v>301</v>
      </c>
      <c r="AK2" s="41" t="n">
        <v>0</v>
      </c>
      <c r="AL2" s="41" t="s">
        <v>301</v>
      </c>
      <c r="AM2" s="41" t="n">
        <v>0</v>
      </c>
      <c r="AN2" s="43" t="n">
        <v>40275</v>
      </c>
      <c r="AO2" s="41" t="s">
        <v>306</v>
      </c>
      <c r="AP2" s="41" t="s">
        <v>307</v>
      </c>
      <c r="AQ2" s="41" t="n">
        <v>1</v>
      </c>
      <c r="AR2" s="41" t="n">
        <v>1</v>
      </c>
      <c r="AS2" s="43" t="n">
        <v>40269</v>
      </c>
      <c r="AT2" s="43" t="n">
        <v>40269</v>
      </c>
      <c r="AU2" s="41" t="n">
        <v>0</v>
      </c>
      <c r="AV2" s="41" t="s">
        <v>301</v>
      </c>
      <c r="AW2" s="41" t="s">
        <v>301</v>
      </c>
      <c r="AX2" s="41" t="n">
        <v>1</v>
      </c>
      <c r="AY2" s="43" t="n">
        <v>40275</v>
      </c>
      <c r="AZ2" s="43" t="n">
        <v>40285</v>
      </c>
      <c r="BA2" s="41" t="n">
        <v>0</v>
      </c>
      <c r="BB2" s="43" t="s">
        <v>301</v>
      </c>
      <c r="BC2" s="43" t="s">
        <v>301</v>
      </c>
      <c r="BD2" s="41" t="n">
        <v>0</v>
      </c>
      <c r="BE2" s="41" t="s">
        <v>301</v>
      </c>
      <c r="BF2" s="41" t="s">
        <v>301</v>
      </c>
      <c r="BG2" s="41" t="n">
        <v>0</v>
      </c>
      <c r="BH2" s="41" t="s">
        <v>301</v>
      </c>
      <c r="BI2" s="41" t="s">
        <v>301</v>
      </c>
      <c r="BJ2" s="41" t="n">
        <v>0</v>
      </c>
      <c r="BK2" s="41" t="s">
        <v>301</v>
      </c>
      <c r="BL2" s="41" t="s">
        <v>301</v>
      </c>
      <c r="BM2" s="41" t="n">
        <v>0</v>
      </c>
      <c r="BN2" s="41" t="s">
        <v>301</v>
      </c>
      <c r="BO2" s="41" t="s">
        <v>301</v>
      </c>
      <c r="BP2" s="41" t="n">
        <v>1</v>
      </c>
      <c r="BQ2" s="43" t="n">
        <v>40275</v>
      </c>
      <c r="BR2" s="43" t="n">
        <v>40284</v>
      </c>
      <c r="BS2" s="41" t="n">
        <v>0</v>
      </c>
      <c r="BT2" s="43" t="s">
        <v>301</v>
      </c>
      <c r="BU2" s="41" t="s">
        <v>301</v>
      </c>
      <c r="BV2" s="41" t="n">
        <v>0</v>
      </c>
      <c r="BW2" s="43" t="s">
        <v>301</v>
      </c>
      <c r="BX2" s="43" t="s">
        <v>301</v>
      </c>
      <c r="BY2" s="41" t="n">
        <v>0</v>
      </c>
      <c r="BZ2" s="43" t="s">
        <v>301</v>
      </c>
      <c r="CA2" s="43" t="s">
        <v>301</v>
      </c>
      <c r="CB2" s="41" t="n">
        <v>0</v>
      </c>
      <c r="CC2" s="43"/>
      <c r="CD2" s="43"/>
      <c r="CE2" s="41" t="n">
        <v>0</v>
      </c>
      <c r="CF2" s="41" t="s">
        <v>301</v>
      </c>
      <c r="CG2" s="41" t="s">
        <v>301</v>
      </c>
      <c r="CH2" s="41" t="n">
        <v>0</v>
      </c>
      <c r="CI2" s="41" t="s">
        <v>301</v>
      </c>
      <c r="CJ2" s="41" t="s">
        <v>301</v>
      </c>
      <c r="CK2" s="41" t="n">
        <v>0</v>
      </c>
      <c r="CL2" s="43" t="s">
        <v>301</v>
      </c>
      <c r="CM2" s="43" t="s">
        <v>301</v>
      </c>
      <c r="CN2" s="41" t="n">
        <v>0</v>
      </c>
      <c r="CO2" s="41" t="s">
        <v>301</v>
      </c>
      <c r="CP2" s="41" t="s">
        <v>301</v>
      </c>
      <c r="CQ2" s="41" t="n">
        <v>0</v>
      </c>
      <c r="CR2" s="43" t="s">
        <v>301</v>
      </c>
      <c r="CS2" s="43" t="s">
        <v>301</v>
      </c>
      <c r="CT2" s="41" t="n">
        <v>0</v>
      </c>
      <c r="CU2" s="43" t="s">
        <v>301</v>
      </c>
      <c r="CV2" s="43" t="s">
        <v>301</v>
      </c>
      <c r="CW2" s="41" t="n">
        <v>0</v>
      </c>
      <c r="CX2" s="41" t="n">
        <v>0</v>
      </c>
      <c r="CY2" s="41" t="n">
        <v>0</v>
      </c>
      <c r="CZ2" s="43" t="s">
        <v>301</v>
      </c>
      <c r="DA2" s="43" t="s">
        <v>301</v>
      </c>
      <c r="DB2" s="41" t="n">
        <v>0</v>
      </c>
      <c r="DC2" s="43" t="s">
        <v>301</v>
      </c>
      <c r="DD2" s="41" t="n">
        <v>0</v>
      </c>
      <c r="DE2" s="41" t="n">
        <v>0</v>
      </c>
      <c r="DF2" s="43" t="s">
        <v>301</v>
      </c>
      <c r="DG2" s="41" t="n">
        <v>0</v>
      </c>
      <c r="DH2" s="41" t="n">
        <v>0</v>
      </c>
      <c r="DI2" s="41" t="n">
        <v>0</v>
      </c>
      <c r="DJ2" s="41" t="n">
        <v>0</v>
      </c>
      <c r="DK2" s="41" t="n">
        <v>0</v>
      </c>
      <c r="DL2" s="41" t="n">
        <v>0</v>
      </c>
      <c r="DM2" s="41" t="n">
        <v>0</v>
      </c>
      <c r="DN2" s="41" t="n">
        <v>0</v>
      </c>
      <c r="DO2" s="41" t="n">
        <v>0</v>
      </c>
      <c r="DP2" s="41" t="n">
        <v>0</v>
      </c>
      <c r="DQ2" s="41" t="n">
        <v>0</v>
      </c>
      <c r="DR2" s="41" t="n">
        <v>0</v>
      </c>
      <c r="DS2" s="41" t="n">
        <v>0</v>
      </c>
      <c r="DT2" s="41" t="n">
        <v>0</v>
      </c>
      <c r="DU2" s="41" t="n">
        <v>2</v>
      </c>
      <c r="DV2" s="41" t="n">
        <v>0</v>
      </c>
      <c r="DW2" s="41" t="n">
        <v>0</v>
      </c>
      <c r="DX2" s="41" t="n">
        <v>0</v>
      </c>
      <c r="DY2" s="41" t="n">
        <v>0</v>
      </c>
      <c r="DZ2" s="41" t="n">
        <v>2</v>
      </c>
      <c r="EA2" s="41" t="n">
        <v>1</v>
      </c>
      <c r="EB2" s="41" t="n">
        <v>1</v>
      </c>
      <c r="EC2" s="41" t="n">
        <v>1</v>
      </c>
      <c r="ED2" s="41" t="n">
        <v>1</v>
      </c>
      <c r="EE2" s="41" t="n">
        <v>0</v>
      </c>
      <c r="EF2" s="41" t="n">
        <v>0</v>
      </c>
      <c r="EG2" s="41" t="n">
        <v>1</v>
      </c>
      <c r="EH2" s="41" t="n">
        <v>4</v>
      </c>
      <c r="EI2" s="41" t="n">
        <v>4</v>
      </c>
      <c r="EJ2" s="41" t="n">
        <v>4</v>
      </c>
      <c r="EK2" s="41" t="n">
        <v>2</v>
      </c>
      <c r="EL2" s="41" t="n">
        <v>2</v>
      </c>
      <c r="EM2" s="41" t="n">
        <v>4</v>
      </c>
      <c r="EN2" s="41" t="n">
        <v>22</v>
      </c>
      <c r="EO2" s="41" t="n">
        <v>3</v>
      </c>
      <c r="EP2" s="41" t="n">
        <v>1</v>
      </c>
      <c r="EQ2" s="43" t="n">
        <v>40277</v>
      </c>
      <c r="ER2" s="43" t="n">
        <v>40307</v>
      </c>
      <c r="ES2" s="41" t="n">
        <f aca="false">DATEDIF(EQ2,ER2,"D")</f>
        <v>30</v>
      </c>
      <c r="ET2" s="41" t="n">
        <v>6.8</v>
      </c>
      <c r="EU2" s="41" t="n">
        <v>1</v>
      </c>
      <c r="EV2" s="43" t="n">
        <v>40276</v>
      </c>
      <c r="EW2" s="43" t="n">
        <v>40283</v>
      </c>
      <c r="EX2" s="41" t="n">
        <f aca="false">DATEDIF(EV2,EW2,"D")</f>
        <v>7</v>
      </c>
      <c r="EY2" s="41" t="n">
        <v>1</v>
      </c>
      <c r="EZ2" s="43" t="n">
        <v>40276</v>
      </c>
      <c r="FA2" s="43" t="n">
        <v>40290</v>
      </c>
      <c r="FB2" s="41" t="n">
        <v>1</v>
      </c>
      <c r="FC2" s="43" t="n">
        <v>40275</v>
      </c>
      <c r="FD2" s="43" t="n">
        <v>40277</v>
      </c>
      <c r="FE2" s="41" t="n">
        <v>2</v>
      </c>
      <c r="FF2" s="41" t="n">
        <v>1</v>
      </c>
      <c r="FG2" s="43" t="n">
        <v>40277</v>
      </c>
      <c r="FH2" s="43" t="n">
        <v>40308</v>
      </c>
      <c r="FI2" s="41" t="n">
        <f aca="false">DATEDIF(FG2,FH2,"d")</f>
        <v>31</v>
      </c>
      <c r="FJ2" s="41" t="n">
        <v>2</v>
      </c>
      <c r="FK2" s="41" t="n">
        <v>0</v>
      </c>
      <c r="FL2" s="41" t="n">
        <v>2</v>
      </c>
      <c r="FM2" s="44" t="n">
        <v>9.9</v>
      </c>
      <c r="FN2" s="44" t="n">
        <v>1</v>
      </c>
      <c r="FO2" s="44" t="n">
        <v>24</v>
      </c>
      <c r="FP2" s="44" t="n">
        <v>1</v>
      </c>
      <c r="FQ2" s="45" t="n">
        <v>49</v>
      </c>
      <c r="FR2" s="41" t="n">
        <v>3</v>
      </c>
      <c r="FS2" s="41" t="n">
        <v>1</v>
      </c>
      <c r="FT2" s="46" t="s">
        <v>308</v>
      </c>
      <c r="FU2" s="46" t="s">
        <v>309</v>
      </c>
      <c r="FV2" s="40" t="n">
        <v>40271</v>
      </c>
      <c r="FW2" s="39" t="s">
        <v>310</v>
      </c>
      <c r="FX2" s="41" t="n">
        <v>1</v>
      </c>
      <c r="FY2" s="42" t="s">
        <v>311</v>
      </c>
      <c r="FZ2" s="39" t="s">
        <v>311</v>
      </c>
      <c r="GA2" s="41" t="n">
        <v>0</v>
      </c>
      <c r="GB2" s="46" t="s">
        <v>301</v>
      </c>
      <c r="GC2" s="41" t="n">
        <v>1</v>
      </c>
      <c r="GD2" s="41" t="n">
        <v>1</v>
      </c>
      <c r="GE2" s="41" t="n">
        <v>1</v>
      </c>
      <c r="GF2" s="41" t="n">
        <v>0</v>
      </c>
      <c r="GG2" s="41" t="n">
        <v>1</v>
      </c>
      <c r="GH2" s="41" t="n">
        <v>1</v>
      </c>
      <c r="GI2" s="42" t="n">
        <v>0</v>
      </c>
      <c r="GJ2" s="39" t="s">
        <v>312</v>
      </c>
      <c r="GK2" s="42" t="n">
        <v>0</v>
      </c>
      <c r="GL2" s="44" t="n">
        <v>0</v>
      </c>
      <c r="GM2" s="41" t="n">
        <v>1</v>
      </c>
      <c r="GN2" s="42" t="n">
        <v>0</v>
      </c>
      <c r="GO2" s="41" t="n">
        <v>1</v>
      </c>
      <c r="GP2" s="41" t="n">
        <v>0</v>
      </c>
      <c r="GQ2" s="42" t="n">
        <v>0</v>
      </c>
      <c r="GR2" s="41" t="n">
        <v>0</v>
      </c>
      <c r="GS2" s="41" t="n">
        <v>0</v>
      </c>
      <c r="GT2" s="41" t="n">
        <v>0</v>
      </c>
      <c r="GU2" s="41" t="n">
        <v>1</v>
      </c>
      <c r="GV2" s="41" t="n">
        <v>23</v>
      </c>
      <c r="GW2" s="41" t="n">
        <v>0</v>
      </c>
      <c r="GX2" s="41" t="n">
        <v>1</v>
      </c>
      <c r="GY2" s="41" t="n">
        <v>0</v>
      </c>
      <c r="GZ2" s="41" t="n">
        <v>0</v>
      </c>
      <c r="HA2" s="41" t="n">
        <v>0</v>
      </c>
      <c r="HB2" s="41" t="n">
        <v>0</v>
      </c>
      <c r="HC2" s="41" t="n">
        <v>0</v>
      </c>
      <c r="HD2" s="41" t="n">
        <v>0</v>
      </c>
      <c r="HE2" s="41" t="n">
        <v>0</v>
      </c>
      <c r="HF2" s="41" t="n">
        <v>0</v>
      </c>
      <c r="HG2" s="41" t="n">
        <v>0</v>
      </c>
      <c r="HH2" s="41" t="n">
        <v>1</v>
      </c>
      <c r="HI2" s="41" t="n">
        <v>1</v>
      </c>
      <c r="HJ2" s="42" t="n">
        <v>0</v>
      </c>
      <c r="HK2" s="42" t="n">
        <v>0</v>
      </c>
      <c r="HL2" s="39" t="s">
        <v>301</v>
      </c>
      <c r="HM2" s="39" t="s">
        <v>313</v>
      </c>
      <c r="HN2" s="42" t="n">
        <v>0</v>
      </c>
      <c r="HO2" s="42" t="n">
        <v>0</v>
      </c>
      <c r="HP2" s="42" t="n">
        <v>0</v>
      </c>
      <c r="HQ2" s="42" t="s">
        <v>301</v>
      </c>
      <c r="HR2" s="42" t="n">
        <v>0</v>
      </c>
      <c r="HS2" s="41" t="n">
        <v>1</v>
      </c>
      <c r="HT2" s="41" t="s">
        <v>301</v>
      </c>
      <c r="HU2" s="41" t="s">
        <v>301</v>
      </c>
      <c r="HV2" s="41" t="n">
        <v>1</v>
      </c>
      <c r="HW2" s="41" t="s">
        <v>301</v>
      </c>
      <c r="HX2" s="41" t="n">
        <v>1</v>
      </c>
      <c r="HY2" s="41" t="s">
        <v>301</v>
      </c>
      <c r="HZ2" s="41" t="n">
        <v>1</v>
      </c>
      <c r="IA2" s="41"/>
      <c r="IB2" s="41" t="s">
        <v>301</v>
      </c>
      <c r="IC2" s="41" t="n">
        <v>1</v>
      </c>
      <c r="ID2" s="41" t="n">
        <v>0</v>
      </c>
      <c r="IE2" s="41" t="n">
        <v>1</v>
      </c>
      <c r="IF2" s="41" t="n">
        <v>1</v>
      </c>
      <c r="IG2" s="41" t="n">
        <v>0</v>
      </c>
      <c r="IH2" s="41" t="n">
        <v>1</v>
      </c>
      <c r="II2" s="41" t="n">
        <v>0</v>
      </c>
      <c r="IJ2" s="41" t="n">
        <v>1</v>
      </c>
      <c r="IK2" s="41" t="n">
        <v>0</v>
      </c>
      <c r="IL2" s="41" t="n">
        <v>0</v>
      </c>
      <c r="IM2" s="41" t="n">
        <v>1</v>
      </c>
      <c r="IN2" s="41" t="n">
        <v>0</v>
      </c>
      <c r="IO2" s="41" t="n">
        <v>0</v>
      </c>
      <c r="IP2" s="41" t="n">
        <v>1</v>
      </c>
      <c r="IQ2" s="41" t="n">
        <v>1</v>
      </c>
      <c r="IR2" s="41" t="n">
        <v>0</v>
      </c>
      <c r="IS2" s="41" t="n">
        <v>0</v>
      </c>
      <c r="IT2" s="41" t="n">
        <v>0</v>
      </c>
      <c r="IU2" s="42" t="n">
        <v>0</v>
      </c>
      <c r="IV2" s="41" t="s">
        <v>301</v>
      </c>
      <c r="IW2" s="41" t="s">
        <v>301</v>
      </c>
      <c r="IX2" s="41" t="s">
        <v>301</v>
      </c>
      <c r="IY2" s="41" t="n">
        <v>0</v>
      </c>
      <c r="IZ2" s="41" t="s">
        <v>301</v>
      </c>
      <c r="JA2" s="41" t="n">
        <v>0</v>
      </c>
      <c r="JB2" s="39" t="s">
        <v>314</v>
      </c>
      <c r="JC2" s="42" t="n">
        <v>0</v>
      </c>
      <c r="JD2" s="42" t="n">
        <v>0</v>
      </c>
      <c r="JE2" s="42" t="n">
        <v>0</v>
      </c>
      <c r="JF2" s="42" t="n">
        <v>0</v>
      </c>
      <c r="JG2" s="42" t="n">
        <v>0</v>
      </c>
      <c r="JH2" s="42" t="n">
        <v>0</v>
      </c>
      <c r="JI2" s="42" t="n">
        <v>0</v>
      </c>
      <c r="JJ2" s="42" t="n">
        <v>0</v>
      </c>
      <c r="JK2" s="42" t="n">
        <v>0</v>
      </c>
      <c r="JL2" s="42" t="s">
        <v>301</v>
      </c>
      <c r="JM2" s="42" t="n">
        <v>0</v>
      </c>
      <c r="JN2" s="42" t="n">
        <v>0</v>
      </c>
      <c r="JO2" s="42" t="n">
        <v>0</v>
      </c>
      <c r="JP2" s="42" t="n">
        <v>0</v>
      </c>
      <c r="JQ2" s="42" t="n">
        <v>1</v>
      </c>
      <c r="JR2" s="42" t="n">
        <v>0</v>
      </c>
      <c r="JS2" s="42" t="n">
        <v>0</v>
      </c>
      <c r="JT2" s="42" t="n">
        <v>0</v>
      </c>
      <c r="JU2" s="42" t="n">
        <v>0</v>
      </c>
      <c r="JV2" s="42" t="n">
        <v>0</v>
      </c>
      <c r="JW2" s="42" t="n">
        <v>0</v>
      </c>
      <c r="JX2" s="42" t="n">
        <v>0</v>
      </c>
      <c r="JY2" s="42" t="n">
        <v>0</v>
      </c>
      <c r="JZ2" s="42" t="n">
        <v>0</v>
      </c>
      <c r="KA2" s="47" t="n">
        <v>2</v>
      </c>
      <c r="KB2" s="42" t="n">
        <v>1</v>
      </c>
      <c r="KC2" s="42" t="n">
        <v>0</v>
      </c>
      <c r="KD2" s="42" t="n">
        <v>0</v>
      </c>
      <c r="KE2" s="42" t="n">
        <v>1</v>
      </c>
      <c r="KF2" s="40" t="n">
        <v>40554</v>
      </c>
      <c r="KG2" s="42" t="n">
        <v>1</v>
      </c>
      <c r="KH2" s="42" t="n">
        <v>1</v>
      </c>
      <c r="KI2" s="42" t="n">
        <v>0</v>
      </c>
      <c r="KJ2" s="42" t="n">
        <v>0</v>
      </c>
      <c r="KK2" s="42" t="n">
        <v>0</v>
      </c>
      <c r="KL2" s="39" t="s">
        <v>315</v>
      </c>
    </row>
    <row r="3" customFormat="false" ht="15.75" hidden="false" customHeight="true" outlineLevel="0" collapsed="false">
      <c r="A3" s="39" t="s">
        <v>316</v>
      </c>
      <c r="B3" s="39" t="s">
        <v>299</v>
      </c>
      <c r="C3" s="40" t="n">
        <v>22903</v>
      </c>
      <c r="D3" s="41" t="n">
        <f aca="false">DATEDIF(C3,E3,"y")</f>
        <v>53</v>
      </c>
      <c r="E3" s="40" t="n">
        <v>42286</v>
      </c>
      <c r="F3" s="39" t="s">
        <v>317</v>
      </c>
      <c r="G3" s="42" t="n">
        <v>1</v>
      </c>
      <c r="H3" s="39" t="s">
        <v>318</v>
      </c>
      <c r="I3" s="42" t="n">
        <v>0</v>
      </c>
      <c r="J3" s="39" t="s">
        <v>302</v>
      </c>
      <c r="K3" s="42" t="n">
        <v>74</v>
      </c>
      <c r="L3" s="42" t="n">
        <v>175</v>
      </c>
      <c r="M3" s="42" t="n">
        <f aca="false">K3/(L3/100)^2</f>
        <v>24.1632653061224</v>
      </c>
      <c r="N3" s="42" t="n">
        <v>2</v>
      </c>
      <c r="O3" s="40" t="n">
        <v>42280</v>
      </c>
      <c r="P3" s="40" t="n">
        <v>42283</v>
      </c>
      <c r="Q3" s="40" t="n">
        <v>42332</v>
      </c>
      <c r="R3" s="40" t="n">
        <v>42332</v>
      </c>
      <c r="S3" s="42" t="n">
        <v>1</v>
      </c>
      <c r="T3" s="42" t="n">
        <v>1</v>
      </c>
      <c r="U3" s="40" t="n">
        <v>42332</v>
      </c>
      <c r="V3" s="42" t="s">
        <v>319</v>
      </c>
      <c r="W3" s="40" t="n">
        <v>42272</v>
      </c>
      <c r="X3" s="42" t="n">
        <v>1</v>
      </c>
      <c r="Y3" s="42" t="s">
        <v>320</v>
      </c>
      <c r="Z3" s="42" t="n">
        <v>1</v>
      </c>
      <c r="AA3" s="42" t="n">
        <v>1</v>
      </c>
      <c r="AB3" s="42" t="s">
        <v>321</v>
      </c>
      <c r="AC3" s="42" t="n">
        <v>0</v>
      </c>
      <c r="AD3" s="42"/>
      <c r="AE3" s="42" t="n">
        <v>0</v>
      </c>
      <c r="AF3" s="42" t="s">
        <v>301</v>
      </c>
      <c r="AG3" s="41" t="n">
        <v>0</v>
      </c>
      <c r="AH3" s="42" t="s">
        <v>301</v>
      </c>
      <c r="AI3" s="41" t="n">
        <v>0</v>
      </c>
      <c r="AJ3" s="42" t="s">
        <v>301</v>
      </c>
      <c r="AK3" s="41" t="n">
        <v>0</v>
      </c>
      <c r="AL3" s="42" t="s">
        <v>301</v>
      </c>
      <c r="AM3" s="42" t="n">
        <v>0</v>
      </c>
      <c r="AN3" s="40" t="n">
        <v>42276</v>
      </c>
      <c r="AO3" s="42" t="s">
        <v>322</v>
      </c>
      <c r="AP3" s="42" t="s">
        <v>321</v>
      </c>
      <c r="AQ3" s="41" t="n">
        <v>1</v>
      </c>
      <c r="AR3" s="42" t="n">
        <v>0</v>
      </c>
      <c r="AS3" s="43" t="s">
        <v>301</v>
      </c>
      <c r="AT3" s="43" t="s">
        <v>301</v>
      </c>
      <c r="AU3" s="42" t="n">
        <v>0</v>
      </c>
      <c r="AV3" s="41" t="s">
        <v>301</v>
      </c>
      <c r="AW3" s="41" t="s">
        <v>301</v>
      </c>
      <c r="AX3" s="42" t="n">
        <v>0</v>
      </c>
      <c r="AY3" s="40" t="s">
        <v>301</v>
      </c>
      <c r="AZ3" s="40" t="s">
        <v>301</v>
      </c>
      <c r="BA3" s="42" t="n">
        <v>0</v>
      </c>
      <c r="BB3" s="40" t="s">
        <v>301</v>
      </c>
      <c r="BC3" s="40" t="s">
        <v>301</v>
      </c>
      <c r="BD3" s="42" t="n">
        <v>0</v>
      </c>
      <c r="BE3" s="41" t="s">
        <v>301</v>
      </c>
      <c r="BF3" s="41" t="s">
        <v>301</v>
      </c>
      <c r="BG3" s="42" t="n">
        <v>0</v>
      </c>
      <c r="BH3" s="41" t="s">
        <v>301</v>
      </c>
      <c r="BI3" s="42" t="s">
        <v>301</v>
      </c>
      <c r="BJ3" s="42" t="n">
        <v>1</v>
      </c>
      <c r="BK3" s="40" t="n">
        <v>42276</v>
      </c>
      <c r="BL3" s="40" t="n">
        <v>42276</v>
      </c>
      <c r="BM3" s="42" t="n">
        <v>0</v>
      </c>
      <c r="BN3" s="41" t="s">
        <v>301</v>
      </c>
      <c r="BO3" s="41" t="s">
        <v>301</v>
      </c>
      <c r="BP3" s="42" t="n">
        <v>1</v>
      </c>
      <c r="BQ3" s="40" t="n">
        <v>42276</v>
      </c>
      <c r="BR3" s="40" t="n">
        <v>42276</v>
      </c>
      <c r="BS3" s="42" t="n">
        <v>0</v>
      </c>
      <c r="BT3" s="43" t="s">
        <v>301</v>
      </c>
      <c r="BU3" s="41" t="s">
        <v>301</v>
      </c>
      <c r="BV3" s="42" t="n">
        <v>1</v>
      </c>
      <c r="BW3" s="40" t="n">
        <v>42276</v>
      </c>
      <c r="BX3" s="40" t="n">
        <v>42276</v>
      </c>
      <c r="BY3" s="42" t="n">
        <v>0</v>
      </c>
      <c r="BZ3" s="40" t="s">
        <v>301</v>
      </c>
      <c r="CA3" s="40" t="s">
        <v>301</v>
      </c>
      <c r="CB3" s="42" t="n">
        <v>0</v>
      </c>
      <c r="CC3" s="40"/>
      <c r="CD3" s="40"/>
      <c r="CE3" s="42" t="n">
        <v>1</v>
      </c>
      <c r="CF3" s="40" t="n">
        <v>42276</v>
      </c>
      <c r="CG3" s="40" t="n">
        <v>42276</v>
      </c>
      <c r="CH3" s="42" t="n">
        <v>0</v>
      </c>
      <c r="CI3" s="41" t="s">
        <v>301</v>
      </c>
      <c r="CJ3" s="41" t="s">
        <v>301</v>
      </c>
      <c r="CK3" s="42" t="n">
        <v>0</v>
      </c>
      <c r="CL3" s="43" t="s">
        <v>301</v>
      </c>
      <c r="CM3" s="43" t="s">
        <v>301</v>
      </c>
      <c r="CN3" s="42" t="n">
        <v>0</v>
      </c>
      <c r="CO3" s="41" t="s">
        <v>301</v>
      </c>
      <c r="CP3" s="41" t="s">
        <v>301</v>
      </c>
      <c r="CQ3" s="42" t="n">
        <v>0</v>
      </c>
      <c r="CR3" s="43" t="s">
        <v>301</v>
      </c>
      <c r="CS3" s="43" t="s">
        <v>301</v>
      </c>
      <c r="CT3" s="42" t="n">
        <v>0</v>
      </c>
      <c r="CU3" s="43" t="s">
        <v>301</v>
      </c>
      <c r="CV3" s="43" t="s">
        <v>301</v>
      </c>
      <c r="CW3" s="42" t="n">
        <v>1</v>
      </c>
      <c r="CX3" s="42" t="n">
        <v>0</v>
      </c>
      <c r="CY3" s="42" t="n">
        <v>0</v>
      </c>
      <c r="CZ3" s="43" t="s">
        <v>301</v>
      </c>
      <c r="DA3" s="43" t="s">
        <v>301</v>
      </c>
      <c r="DB3" s="42" t="n">
        <v>0</v>
      </c>
      <c r="DC3" s="40" t="s">
        <v>301</v>
      </c>
      <c r="DD3" s="42" t="n">
        <v>0</v>
      </c>
      <c r="DE3" s="42" t="n">
        <v>0</v>
      </c>
      <c r="DF3" s="40" t="s">
        <v>301</v>
      </c>
      <c r="DG3" s="42" t="n">
        <v>0</v>
      </c>
      <c r="DH3" s="42" t="n">
        <v>0</v>
      </c>
      <c r="DI3" s="42" t="n">
        <v>0</v>
      </c>
      <c r="DJ3" s="42" t="n">
        <v>0</v>
      </c>
      <c r="DK3" s="42" t="n">
        <v>0</v>
      </c>
      <c r="DL3" s="42" t="n">
        <v>0</v>
      </c>
      <c r="DM3" s="42" t="n">
        <v>0</v>
      </c>
      <c r="DN3" s="42" t="n">
        <v>0</v>
      </c>
      <c r="DO3" s="42" t="n">
        <v>0</v>
      </c>
      <c r="DP3" s="42" t="n">
        <v>0</v>
      </c>
      <c r="DQ3" s="42" t="n">
        <v>0</v>
      </c>
      <c r="DR3" s="42" t="n">
        <v>0</v>
      </c>
      <c r="DS3" s="42" t="n">
        <v>0</v>
      </c>
      <c r="DT3" s="42" t="n">
        <v>0</v>
      </c>
      <c r="DU3" s="42" t="n">
        <v>0</v>
      </c>
      <c r="DV3" s="42" t="n">
        <v>2</v>
      </c>
      <c r="DW3" s="42" t="n">
        <v>0</v>
      </c>
      <c r="DX3" s="42" t="n">
        <v>0</v>
      </c>
      <c r="DY3" s="42" t="n">
        <v>6</v>
      </c>
      <c r="DZ3" s="41" t="n">
        <v>8</v>
      </c>
      <c r="EA3" s="42" t="n">
        <v>1</v>
      </c>
      <c r="EB3" s="42" t="n">
        <v>0</v>
      </c>
      <c r="EC3" s="42" t="n">
        <v>0</v>
      </c>
      <c r="ED3" s="42" t="n">
        <v>1</v>
      </c>
      <c r="EE3" s="42" t="n">
        <v>0</v>
      </c>
      <c r="EF3" s="42" t="n">
        <v>0</v>
      </c>
      <c r="EG3" s="42" t="n">
        <v>0</v>
      </c>
      <c r="EH3" s="42" t="n">
        <v>2</v>
      </c>
      <c r="EI3" s="42" t="n">
        <v>3</v>
      </c>
      <c r="EJ3" s="42" t="n">
        <v>4</v>
      </c>
      <c r="EK3" s="42" t="n">
        <v>0</v>
      </c>
      <c r="EL3" s="42" t="n">
        <v>2</v>
      </c>
      <c r="EM3" s="42" t="n">
        <v>3</v>
      </c>
      <c r="EN3" s="42" t="n">
        <v>14</v>
      </c>
      <c r="EO3" s="42" t="n">
        <v>2</v>
      </c>
      <c r="EP3" s="42" t="n">
        <v>1</v>
      </c>
      <c r="EQ3" s="40" t="n">
        <v>42285</v>
      </c>
      <c r="ER3" s="40" t="n">
        <v>42332</v>
      </c>
      <c r="ES3" s="41" t="n">
        <f aca="false">DATEDIF(EQ3,ER3,"D")</f>
        <v>47</v>
      </c>
      <c r="ET3" s="42" t="n">
        <v>3.2</v>
      </c>
      <c r="EU3" s="42" t="n">
        <v>1</v>
      </c>
      <c r="EV3" s="40" t="n">
        <v>42282</v>
      </c>
      <c r="EW3" s="40" t="n">
        <v>42332</v>
      </c>
      <c r="EX3" s="41" t="n">
        <f aca="false">DATEDIF(EV3,EW3,"D")</f>
        <v>50</v>
      </c>
      <c r="EY3" s="42" t="n">
        <v>0</v>
      </c>
      <c r="EZ3" s="42" t="s">
        <v>301</v>
      </c>
      <c r="FA3" s="42" t="s">
        <v>301</v>
      </c>
      <c r="FB3" s="42" t="n">
        <v>1</v>
      </c>
      <c r="FC3" s="40" t="n">
        <v>42280</v>
      </c>
      <c r="FD3" s="40" t="n">
        <v>42285</v>
      </c>
      <c r="FE3" s="41" t="n">
        <v>5</v>
      </c>
      <c r="FF3" s="42" t="n">
        <v>1</v>
      </c>
      <c r="FG3" s="40" t="n">
        <v>42280</v>
      </c>
      <c r="FH3" s="40" t="n">
        <v>42287</v>
      </c>
      <c r="FI3" s="41" t="n">
        <f aca="false">DATEDIF(FG3,FH3,"d")</f>
        <v>7</v>
      </c>
      <c r="FJ3" s="42" t="n">
        <v>4</v>
      </c>
      <c r="FK3" s="42" t="n">
        <v>0</v>
      </c>
      <c r="FL3" s="42" t="n">
        <v>0.1</v>
      </c>
      <c r="FM3" s="42" t="n">
        <v>8.3</v>
      </c>
      <c r="FN3" s="42" t="n">
        <v>1</v>
      </c>
      <c r="FO3" s="42" t="n">
        <v>18.4</v>
      </c>
      <c r="FP3" s="42" t="n">
        <v>1</v>
      </c>
      <c r="FQ3" s="42" t="s">
        <v>301</v>
      </c>
      <c r="FR3" s="42" t="n">
        <v>28</v>
      </c>
      <c r="FS3" s="42" t="n">
        <v>1</v>
      </c>
      <c r="FT3" s="48" t="s">
        <v>323</v>
      </c>
      <c r="FU3" s="48" t="s">
        <v>324</v>
      </c>
      <c r="FV3" s="40" t="n">
        <v>42280</v>
      </c>
      <c r="FW3" s="39" t="s">
        <v>325</v>
      </c>
      <c r="FX3" s="42" t="n">
        <v>1</v>
      </c>
      <c r="FY3" s="42" t="s">
        <v>311</v>
      </c>
      <c r="FZ3" s="39" t="s">
        <v>311</v>
      </c>
      <c r="GA3" s="42" t="n">
        <v>0</v>
      </c>
      <c r="GB3" s="48" t="s">
        <v>326</v>
      </c>
      <c r="GC3" s="42" t="n">
        <v>1</v>
      </c>
      <c r="GD3" s="42" t="n">
        <v>0</v>
      </c>
      <c r="GE3" s="42" t="n">
        <v>0</v>
      </c>
      <c r="GF3" s="42" t="n">
        <v>1</v>
      </c>
      <c r="GG3" s="42" t="n">
        <v>1</v>
      </c>
      <c r="GH3" s="42" t="n">
        <v>1</v>
      </c>
      <c r="GI3" s="42" t="n">
        <v>0</v>
      </c>
      <c r="GJ3" s="39" t="s">
        <v>327</v>
      </c>
      <c r="GK3" s="42" t="n">
        <v>0</v>
      </c>
      <c r="GL3" s="42" t="n">
        <v>0</v>
      </c>
      <c r="GM3" s="42" t="n">
        <v>1</v>
      </c>
      <c r="GN3" s="42" t="n">
        <v>0</v>
      </c>
      <c r="GO3" s="42" t="n">
        <v>1</v>
      </c>
      <c r="GP3" s="42" t="n">
        <v>0</v>
      </c>
      <c r="GQ3" s="42" t="n">
        <v>0</v>
      </c>
      <c r="GR3" s="42" t="n">
        <v>0</v>
      </c>
      <c r="GS3" s="42" t="n">
        <v>0</v>
      </c>
      <c r="GT3" s="42" t="n">
        <v>0</v>
      </c>
      <c r="GU3" s="42" t="n">
        <v>1</v>
      </c>
      <c r="GV3" s="42" t="n">
        <v>6</v>
      </c>
      <c r="GW3" s="42" t="n">
        <v>0</v>
      </c>
      <c r="GX3" s="42" t="n">
        <v>1</v>
      </c>
      <c r="GY3" s="42" t="n">
        <v>1</v>
      </c>
      <c r="GZ3" s="42" t="n">
        <v>0</v>
      </c>
      <c r="HA3" s="42" t="n">
        <v>0</v>
      </c>
      <c r="HB3" s="42" t="n">
        <v>0</v>
      </c>
      <c r="HC3" s="42" t="n">
        <v>0</v>
      </c>
      <c r="HD3" s="42" t="n">
        <v>0</v>
      </c>
      <c r="HE3" s="42" t="n">
        <v>0</v>
      </c>
      <c r="HF3" s="42" t="n">
        <v>0</v>
      </c>
      <c r="HG3" s="42" t="n">
        <v>0</v>
      </c>
      <c r="HH3" s="42" t="n">
        <v>0</v>
      </c>
      <c r="HI3" s="42" t="n">
        <v>0</v>
      </c>
      <c r="HJ3" s="42" t="n">
        <v>0</v>
      </c>
      <c r="HK3" s="42" t="n">
        <v>0</v>
      </c>
      <c r="HL3" s="39" t="s">
        <v>301</v>
      </c>
      <c r="HM3" s="39" t="s">
        <v>328</v>
      </c>
      <c r="HN3" s="42" t="n">
        <v>0</v>
      </c>
      <c r="HO3" s="42" t="n">
        <v>0</v>
      </c>
      <c r="HP3" s="42" t="n">
        <v>0</v>
      </c>
      <c r="HQ3" s="42" t="s">
        <v>301</v>
      </c>
      <c r="HR3" s="42" t="n">
        <v>0</v>
      </c>
      <c r="HS3" s="42" t="n">
        <v>1</v>
      </c>
      <c r="HT3" s="42" t="n">
        <v>8</v>
      </c>
      <c r="HU3" s="42" t="n">
        <v>8.3</v>
      </c>
      <c r="HV3" s="42" t="s">
        <v>301</v>
      </c>
      <c r="HW3" s="42" t="s">
        <v>301</v>
      </c>
      <c r="HX3" s="42"/>
      <c r="HY3" s="42" t="s">
        <v>301</v>
      </c>
      <c r="HZ3" s="42" t="s">
        <v>301</v>
      </c>
      <c r="IA3" s="42" t="s">
        <v>301</v>
      </c>
      <c r="IB3" s="42" t="s">
        <v>301</v>
      </c>
      <c r="IC3" s="42" t="n">
        <v>1</v>
      </c>
      <c r="ID3" s="42" t="n">
        <v>0</v>
      </c>
      <c r="IE3" s="42" t="n">
        <v>1</v>
      </c>
      <c r="IF3" s="42" t="n">
        <v>0</v>
      </c>
      <c r="IG3" s="42" t="n">
        <v>0</v>
      </c>
      <c r="IH3" s="42" t="n">
        <v>1</v>
      </c>
      <c r="II3" s="42" t="n">
        <v>0</v>
      </c>
      <c r="IJ3" s="42" t="n">
        <v>1</v>
      </c>
      <c r="IK3" s="42" t="n">
        <v>0</v>
      </c>
      <c r="IL3" s="42" t="n">
        <v>0</v>
      </c>
      <c r="IM3" s="42" t="n">
        <v>1</v>
      </c>
      <c r="IN3" s="42" t="n">
        <v>1</v>
      </c>
      <c r="IO3" s="42" t="n">
        <v>0</v>
      </c>
      <c r="IP3" s="42" t="n">
        <v>1</v>
      </c>
      <c r="IQ3" s="42" t="n">
        <v>0</v>
      </c>
      <c r="IR3" s="42" t="n">
        <v>1</v>
      </c>
      <c r="IS3" s="42" t="n">
        <v>0</v>
      </c>
      <c r="IT3" s="42" t="n">
        <v>1</v>
      </c>
      <c r="IU3" s="42" t="n">
        <v>0</v>
      </c>
      <c r="IV3" s="42" t="s">
        <v>329</v>
      </c>
      <c r="IW3" s="42"/>
      <c r="IX3" s="42" t="s">
        <v>330</v>
      </c>
      <c r="IY3" s="42" t="n">
        <v>1</v>
      </c>
      <c r="IZ3" s="42" t="s">
        <v>331</v>
      </c>
      <c r="JA3" s="42" t="n">
        <v>0</v>
      </c>
      <c r="JB3" s="39" t="s">
        <v>332</v>
      </c>
      <c r="JC3" s="42" t="n">
        <v>1</v>
      </c>
      <c r="JD3" s="42" t="n">
        <v>0</v>
      </c>
      <c r="JE3" s="42" t="n">
        <v>1</v>
      </c>
      <c r="JF3" s="42" t="n">
        <v>0</v>
      </c>
      <c r="JG3" s="42" t="n">
        <v>0</v>
      </c>
      <c r="JH3" s="42" t="n">
        <v>0</v>
      </c>
      <c r="JI3" s="42" t="n">
        <v>0</v>
      </c>
      <c r="JJ3" s="42" t="n">
        <v>1</v>
      </c>
      <c r="JK3" s="42" t="n">
        <v>1</v>
      </c>
      <c r="JL3" s="42" t="s">
        <v>333</v>
      </c>
      <c r="JM3" s="42" t="n">
        <v>0</v>
      </c>
      <c r="JN3" s="42" t="n">
        <v>1</v>
      </c>
      <c r="JO3" s="42" t="n">
        <v>0</v>
      </c>
      <c r="JP3" s="42" t="n">
        <v>0</v>
      </c>
      <c r="JQ3" s="42" t="n">
        <v>0</v>
      </c>
      <c r="JR3" s="42" t="n">
        <v>0</v>
      </c>
      <c r="JS3" s="42" t="n">
        <v>0</v>
      </c>
      <c r="JT3" s="42" t="n">
        <v>0</v>
      </c>
      <c r="JU3" s="42" t="n">
        <v>0</v>
      </c>
      <c r="JV3" s="42" t="n">
        <v>0</v>
      </c>
      <c r="JW3" s="42" t="n">
        <v>0</v>
      </c>
      <c r="JX3" s="42" t="n">
        <v>0</v>
      </c>
      <c r="JY3" s="42" t="n">
        <v>0</v>
      </c>
      <c r="JZ3" s="42" t="n">
        <v>0</v>
      </c>
      <c r="KA3" s="47" t="n">
        <v>5</v>
      </c>
      <c r="KB3" s="42" t="n">
        <v>1</v>
      </c>
      <c r="KC3" s="42" t="n">
        <v>1</v>
      </c>
      <c r="KD3" s="42" t="n">
        <v>0</v>
      </c>
      <c r="KE3" s="42" t="n">
        <v>0</v>
      </c>
      <c r="KF3" s="40" t="s">
        <v>301</v>
      </c>
      <c r="KG3" s="42" t="n">
        <v>0</v>
      </c>
      <c r="KH3" s="42" t="n">
        <v>0</v>
      </c>
      <c r="KI3" s="42" t="n">
        <v>0</v>
      </c>
      <c r="KJ3" s="42" t="n">
        <v>0</v>
      </c>
      <c r="KK3" s="42" t="n">
        <v>0</v>
      </c>
      <c r="KL3" s="39" t="s">
        <v>334</v>
      </c>
    </row>
    <row r="4" customFormat="false" ht="15.75" hidden="false" customHeight="true" outlineLevel="0" collapsed="false">
      <c r="A4" s="39" t="s">
        <v>335</v>
      </c>
      <c r="B4" s="39" t="s">
        <v>299</v>
      </c>
      <c r="C4" s="40" t="n">
        <v>18638</v>
      </c>
      <c r="D4" s="41" t="n">
        <f aca="false">DATEDIF(C4,E4,"y")</f>
        <v>63</v>
      </c>
      <c r="E4" s="40" t="n">
        <v>41680</v>
      </c>
      <c r="F4" s="39" t="s">
        <v>336</v>
      </c>
      <c r="G4" s="42" t="n">
        <v>1</v>
      </c>
      <c r="H4" s="39" t="s">
        <v>337</v>
      </c>
      <c r="I4" s="42" t="n">
        <v>0</v>
      </c>
      <c r="J4" s="39" t="s">
        <v>302</v>
      </c>
      <c r="K4" s="42" t="n">
        <v>60</v>
      </c>
      <c r="L4" s="42" t="n">
        <v>172</v>
      </c>
      <c r="M4" s="42" t="n">
        <f aca="false">K4/(L4/100)^2</f>
        <v>20.2812330989724</v>
      </c>
      <c r="N4" s="42" t="n">
        <v>2</v>
      </c>
      <c r="O4" s="40" t="n">
        <v>41884</v>
      </c>
      <c r="P4" s="40" t="n">
        <v>41679</v>
      </c>
      <c r="Q4" s="40" t="n">
        <v>41679</v>
      </c>
      <c r="R4" s="40" t="n">
        <v>41680</v>
      </c>
      <c r="S4" s="42" t="n">
        <v>1</v>
      </c>
      <c r="T4" s="42" t="n">
        <v>1</v>
      </c>
      <c r="U4" s="40" t="n">
        <v>41680</v>
      </c>
      <c r="V4" s="42" t="s">
        <v>338</v>
      </c>
      <c r="W4" s="40" t="n">
        <v>39629</v>
      </c>
      <c r="X4" s="42" t="n">
        <v>0</v>
      </c>
      <c r="Y4" s="42" t="s">
        <v>339</v>
      </c>
      <c r="Z4" s="42" t="n">
        <v>1</v>
      </c>
      <c r="AA4" s="42" t="n">
        <v>0</v>
      </c>
      <c r="AB4" s="42"/>
      <c r="AC4" s="42" t="n">
        <v>0</v>
      </c>
      <c r="AD4" s="42"/>
      <c r="AE4" s="42" t="n">
        <v>0</v>
      </c>
      <c r="AF4" s="42" t="s">
        <v>301</v>
      </c>
      <c r="AG4" s="41" t="n">
        <v>0</v>
      </c>
      <c r="AH4" s="42" t="s">
        <v>301</v>
      </c>
      <c r="AI4" s="41" t="n">
        <v>0</v>
      </c>
      <c r="AJ4" s="42" t="s">
        <v>301</v>
      </c>
      <c r="AK4" s="41" t="n">
        <v>0</v>
      </c>
      <c r="AL4" s="42" t="s">
        <v>301</v>
      </c>
      <c r="AM4" s="42" t="n">
        <v>1</v>
      </c>
      <c r="AN4" s="40" t="n">
        <v>41670</v>
      </c>
      <c r="AO4" s="42" t="s">
        <v>340</v>
      </c>
      <c r="AP4" s="42" t="s">
        <v>341</v>
      </c>
      <c r="AQ4" s="41" t="n">
        <v>0</v>
      </c>
      <c r="AR4" s="42" t="n">
        <v>0</v>
      </c>
      <c r="AS4" s="43" t="s">
        <v>301</v>
      </c>
      <c r="AT4" s="43" t="s">
        <v>301</v>
      </c>
      <c r="AU4" s="42" t="n">
        <v>0</v>
      </c>
      <c r="AV4" s="41" t="s">
        <v>301</v>
      </c>
      <c r="AW4" s="41" t="s">
        <v>301</v>
      </c>
      <c r="AX4" s="42" t="n">
        <v>0</v>
      </c>
      <c r="AY4" s="40" t="s">
        <v>301</v>
      </c>
      <c r="AZ4" s="40" t="s">
        <v>301</v>
      </c>
      <c r="BA4" s="42" t="n">
        <v>0</v>
      </c>
      <c r="BB4" s="40" t="s">
        <v>301</v>
      </c>
      <c r="BC4" s="40" t="s">
        <v>301</v>
      </c>
      <c r="BD4" s="42" t="n">
        <v>0</v>
      </c>
      <c r="BE4" s="41" t="s">
        <v>301</v>
      </c>
      <c r="BF4" s="41" t="s">
        <v>301</v>
      </c>
      <c r="BG4" s="42" t="n">
        <v>0</v>
      </c>
      <c r="BH4" s="41" t="s">
        <v>301</v>
      </c>
      <c r="BI4" s="42" t="s">
        <v>301</v>
      </c>
      <c r="BJ4" s="42" t="n">
        <v>1</v>
      </c>
      <c r="BK4" s="40" t="n">
        <v>41670</v>
      </c>
      <c r="BL4" s="40" t="n">
        <v>41670</v>
      </c>
      <c r="BM4" s="42" t="n">
        <v>0</v>
      </c>
      <c r="BN4" s="41" t="s">
        <v>301</v>
      </c>
      <c r="BO4" s="41" t="s">
        <v>301</v>
      </c>
      <c r="BP4" s="42" t="n">
        <v>0</v>
      </c>
      <c r="BQ4" s="40" t="s">
        <v>301</v>
      </c>
      <c r="BR4" s="40" t="s">
        <v>301</v>
      </c>
      <c r="BS4" s="42" t="n">
        <v>0</v>
      </c>
      <c r="BT4" s="43" t="s">
        <v>301</v>
      </c>
      <c r="BU4" s="41" t="s">
        <v>301</v>
      </c>
      <c r="BV4" s="42" t="n">
        <v>0</v>
      </c>
      <c r="BW4" s="40" t="s">
        <v>301</v>
      </c>
      <c r="BX4" s="40" t="s">
        <v>301</v>
      </c>
      <c r="BY4" s="42" t="n">
        <v>0</v>
      </c>
      <c r="BZ4" s="40" t="s">
        <v>301</v>
      </c>
      <c r="CA4" s="40" t="s">
        <v>301</v>
      </c>
      <c r="CB4" s="42" t="n">
        <v>0</v>
      </c>
      <c r="CC4" s="40"/>
      <c r="CD4" s="40"/>
      <c r="CE4" s="42" t="n">
        <v>0</v>
      </c>
      <c r="CF4" s="42" t="s">
        <v>301</v>
      </c>
      <c r="CG4" s="42" t="s">
        <v>301</v>
      </c>
      <c r="CH4" s="42" t="n">
        <v>0</v>
      </c>
      <c r="CI4" s="41" t="s">
        <v>301</v>
      </c>
      <c r="CJ4" s="41" t="s">
        <v>301</v>
      </c>
      <c r="CK4" s="42" t="n">
        <v>1</v>
      </c>
      <c r="CL4" s="40" t="n">
        <v>41670</v>
      </c>
      <c r="CM4" s="40" t="n">
        <v>41670</v>
      </c>
      <c r="CN4" s="42" t="n">
        <v>0</v>
      </c>
      <c r="CO4" s="41" t="s">
        <v>301</v>
      </c>
      <c r="CP4" s="41" t="s">
        <v>301</v>
      </c>
      <c r="CQ4" s="42" t="n">
        <v>0</v>
      </c>
      <c r="CR4" s="43" t="s">
        <v>301</v>
      </c>
      <c r="CS4" s="43" t="s">
        <v>301</v>
      </c>
      <c r="CT4" s="42" t="n">
        <v>0</v>
      </c>
      <c r="CU4" s="43" t="s">
        <v>301</v>
      </c>
      <c r="CV4" s="43" t="s">
        <v>301</v>
      </c>
      <c r="CW4" s="42" t="n">
        <v>0</v>
      </c>
      <c r="CX4" s="42" t="n">
        <v>0</v>
      </c>
      <c r="CY4" s="42" t="n">
        <v>0</v>
      </c>
      <c r="CZ4" s="43" t="s">
        <v>301</v>
      </c>
      <c r="DA4" s="43" t="s">
        <v>301</v>
      </c>
      <c r="DB4" s="42" t="n">
        <v>0</v>
      </c>
      <c r="DC4" s="40" t="s">
        <v>301</v>
      </c>
      <c r="DD4" s="42" t="n">
        <v>0</v>
      </c>
      <c r="DE4" s="42" t="n">
        <v>0</v>
      </c>
      <c r="DF4" s="40" t="s">
        <v>301</v>
      </c>
      <c r="DG4" s="42" t="n">
        <v>0</v>
      </c>
      <c r="DH4" s="42" t="n">
        <v>0</v>
      </c>
      <c r="DI4" s="42" t="n">
        <v>0</v>
      </c>
      <c r="DJ4" s="42" t="n">
        <v>0</v>
      </c>
      <c r="DK4" s="42" t="n">
        <v>0</v>
      </c>
      <c r="DL4" s="42" t="n">
        <v>0</v>
      </c>
      <c r="DM4" s="42" t="n">
        <v>0</v>
      </c>
      <c r="DN4" s="42" t="n">
        <v>0</v>
      </c>
      <c r="DO4" s="42" t="n">
        <v>0</v>
      </c>
      <c r="DP4" s="42" t="n">
        <v>0</v>
      </c>
      <c r="DQ4" s="42" t="n">
        <v>0</v>
      </c>
      <c r="DR4" s="42" t="n">
        <v>0</v>
      </c>
      <c r="DS4" s="42" t="n">
        <v>0</v>
      </c>
      <c r="DT4" s="42" t="n">
        <v>0</v>
      </c>
      <c r="DU4" s="42" t="n">
        <v>0</v>
      </c>
      <c r="DV4" s="42" t="n">
        <v>0</v>
      </c>
      <c r="DW4" s="42" t="n">
        <v>0</v>
      </c>
      <c r="DX4" s="42" t="n">
        <v>6</v>
      </c>
      <c r="DY4" s="42" t="n">
        <v>0</v>
      </c>
      <c r="DZ4" s="41" t="n">
        <v>6</v>
      </c>
      <c r="EA4" s="42" t="n">
        <v>1</v>
      </c>
      <c r="EB4" s="42" t="n">
        <v>1</v>
      </c>
      <c r="EC4" s="42" t="n">
        <v>1</v>
      </c>
      <c r="ED4" s="42" t="n">
        <v>1</v>
      </c>
      <c r="EE4" s="42" t="n">
        <v>0</v>
      </c>
      <c r="EF4" s="42" t="n">
        <v>0</v>
      </c>
      <c r="EG4" s="42" t="n">
        <v>1</v>
      </c>
      <c r="EH4" s="42" t="n">
        <v>4</v>
      </c>
      <c r="EI4" s="42" t="n">
        <v>0</v>
      </c>
      <c r="EJ4" s="42" t="n">
        <v>4</v>
      </c>
      <c r="EK4" s="42" t="n">
        <v>4</v>
      </c>
      <c r="EL4" s="42" t="n">
        <v>0</v>
      </c>
      <c r="EM4" s="42" t="n">
        <v>1</v>
      </c>
      <c r="EN4" s="42" t="n">
        <v>13</v>
      </c>
      <c r="EO4" s="42" t="n">
        <v>3</v>
      </c>
      <c r="EP4" s="42" t="n">
        <v>1</v>
      </c>
      <c r="EQ4" s="40" t="n">
        <v>41679</v>
      </c>
      <c r="ER4" s="40" t="n">
        <v>41680</v>
      </c>
      <c r="ES4" s="41" t="n">
        <f aca="false">DATEDIF(EQ4,ER4,"D")</f>
        <v>1</v>
      </c>
      <c r="ET4" s="42" t="n">
        <v>4.9</v>
      </c>
      <c r="EU4" s="42" t="n">
        <v>1</v>
      </c>
      <c r="EV4" s="40" t="n">
        <v>41679</v>
      </c>
      <c r="EW4" s="40" t="n">
        <v>41680</v>
      </c>
      <c r="EX4" s="41" t="n">
        <f aca="false">DATEDIF(EV4,EW4,"D")</f>
        <v>1</v>
      </c>
      <c r="EY4" s="42" t="n">
        <v>0</v>
      </c>
      <c r="EZ4" s="42" t="s">
        <v>301</v>
      </c>
      <c r="FA4" s="42" t="s">
        <v>301</v>
      </c>
      <c r="FB4" s="42" t="n">
        <v>0</v>
      </c>
      <c r="FC4" s="40" t="s">
        <v>301</v>
      </c>
      <c r="FD4" s="40" t="s">
        <v>301</v>
      </c>
      <c r="FE4" s="41" t="s">
        <v>301</v>
      </c>
      <c r="FF4" s="42" t="n">
        <v>1</v>
      </c>
      <c r="FG4" s="40" t="n">
        <v>41678</v>
      </c>
      <c r="FH4" s="40" t="n">
        <v>41680</v>
      </c>
      <c r="FI4" s="41" t="n">
        <f aca="false">DATEDIF(FG4,FH4,"d")</f>
        <v>2</v>
      </c>
      <c r="FJ4" s="42" t="n">
        <v>9</v>
      </c>
      <c r="FK4" s="42" t="n">
        <v>0</v>
      </c>
      <c r="FL4" s="42" t="n">
        <v>0.2</v>
      </c>
      <c r="FM4" s="42" t="n">
        <v>12.8</v>
      </c>
      <c r="FN4" s="42" t="n">
        <v>0</v>
      </c>
      <c r="FO4" s="42" t="n">
        <v>42</v>
      </c>
      <c r="FP4" s="42" t="n">
        <v>0</v>
      </c>
      <c r="FQ4" s="42" t="s">
        <v>301</v>
      </c>
      <c r="FR4" s="42" t="n">
        <v>304</v>
      </c>
      <c r="FS4" s="42" t="n">
        <v>0</v>
      </c>
      <c r="FT4" s="48" t="s">
        <v>342</v>
      </c>
      <c r="FU4" s="48" t="s">
        <v>301</v>
      </c>
      <c r="FV4" s="40" t="n">
        <v>41678</v>
      </c>
      <c r="FW4" s="39" t="s">
        <v>325</v>
      </c>
      <c r="FX4" s="42" t="n">
        <v>1</v>
      </c>
      <c r="FY4" s="42" t="s">
        <v>311</v>
      </c>
      <c r="FZ4" s="39" t="s">
        <v>311</v>
      </c>
      <c r="GA4" s="42" t="n">
        <v>1</v>
      </c>
      <c r="GB4" s="48" t="s">
        <v>326</v>
      </c>
      <c r="GC4" s="42" t="n">
        <v>0</v>
      </c>
      <c r="GD4" s="42" t="n">
        <v>0</v>
      </c>
      <c r="GE4" s="42" t="n">
        <v>0</v>
      </c>
      <c r="GF4" s="42" t="n">
        <v>1</v>
      </c>
      <c r="GG4" s="42" t="n">
        <v>1</v>
      </c>
      <c r="GH4" s="42" t="n">
        <v>1</v>
      </c>
      <c r="GI4" s="42" t="n">
        <v>0</v>
      </c>
      <c r="GJ4" s="39" t="s">
        <v>343</v>
      </c>
      <c r="GK4" s="42" t="n">
        <v>0</v>
      </c>
      <c r="GL4" s="42" t="n">
        <v>0</v>
      </c>
      <c r="GM4" s="42" t="n">
        <v>1</v>
      </c>
      <c r="GN4" s="42" t="n">
        <v>0</v>
      </c>
      <c r="GO4" s="42" t="n">
        <v>1</v>
      </c>
      <c r="GP4" s="42" t="n">
        <v>0</v>
      </c>
      <c r="GQ4" s="42" t="n">
        <v>1</v>
      </c>
      <c r="GR4" s="42" t="n">
        <v>0</v>
      </c>
      <c r="GS4" s="42" t="n">
        <v>0</v>
      </c>
      <c r="GT4" s="42" t="n">
        <v>0</v>
      </c>
      <c r="GU4" s="42" t="n">
        <v>1</v>
      </c>
      <c r="GV4" s="42" t="n">
        <v>0</v>
      </c>
      <c r="GW4" s="42" t="n">
        <v>0</v>
      </c>
      <c r="GX4" s="42" t="n">
        <v>1</v>
      </c>
      <c r="GY4" s="42" t="n">
        <v>0</v>
      </c>
      <c r="GZ4" s="42" t="n">
        <v>1</v>
      </c>
      <c r="HA4" s="42" t="n">
        <v>1</v>
      </c>
      <c r="HB4" s="42" t="n">
        <v>0</v>
      </c>
      <c r="HC4" s="42" t="n">
        <v>0</v>
      </c>
      <c r="HD4" s="42" t="n">
        <v>0</v>
      </c>
      <c r="HE4" s="42" t="n">
        <v>0</v>
      </c>
      <c r="HF4" s="42" t="n">
        <v>0</v>
      </c>
      <c r="HG4" s="42" t="n">
        <v>0</v>
      </c>
      <c r="HH4" s="42" t="n">
        <v>1</v>
      </c>
      <c r="HI4" s="42" t="n">
        <v>1</v>
      </c>
      <c r="HJ4" s="42" t="n">
        <v>0</v>
      </c>
      <c r="HK4" s="42" t="n">
        <v>1</v>
      </c>
      <c r="HL4" s="39" t="s">
        <v>301</v>
      </c>
      <c r="HM4" s="39" t="s">
        <v>344</v>
      </c>
      <c r="HN4" s="42" t="n">
        <v>0</v>
      </c>
      <c r="HO4" s="42" t="n">
        <v>0</v>
      </c>
      <c r="HP4" s="42" t="n">
        <v>0</v>
      </c>
      <c r="HQ4" s="42" t="s">
        <v>301</v>
      </c>
      <c r="HR4" s="42" t="n">
        <v>0</v>
      </c>
      <c r="HS4" s="42" t="n">
        <v>1</v>
      </c>
      <c r="HT4" s="42" t="n">
        <v>10</v>
      </c>
      <c r="HU4" s="42" t="n">
        <v>12</v>
      </c>
      <c r="HV4" s="42" t="n">
        <v>0</v>
      </c>
      <c r="HW4" s="42" t="s">
        <v>301</v>
      </c>
      <c r="HX4" s="42" t="n">
        <v>1</v>
      </c>
      <c r="HY4" s="42" t="n">
        <v>4</v>
      </c>
      <c r="HZ4" s="42" t="n">
        <v>0</v>
      </c>
      <c r="IA4" s="42"/>
      <c r="IB4" s="42" t="s">
        <v>345</v>
      </c>
      <c r="IC4" s="42" t="n">
        <v>0</v>
      </c>
      <c r="ID4" s="42" t="n">
        <v>0</v>
      </c>
      <c r="IE4" s="42" t="n">
        <v>1</v>
      </c>
      <c r="IF4" s="42" t="n">
        <v>1</v>
      </c>
      <c r="IG4" s="42" t="n">
        <v>1</v>
      </c>
      <c r="IH4" s="42" t="n">
        <v>0</v>
      </c>
      <c r="II4" s="42" t="n">
        <v>0</v>
      </c>
      <c r="IJ4" s="42" t="n">
        <v>1</v>
      </c>
      <c r="IK4" s="42" t="n">
        <v>0</v>
      </c>
      <c r="IL4" s="42" t="n">
        <v>0</v>
      </c>
      <c r="IM4" s="42" t="n">
        <v>1</v>
      </c>
      <c r="IN4" s="42" t="n">
        <v>1</v>
      </c>
      <c r="IO4" s="42" t="n">
        <v>0</v>
      </c>
      <c r="IP4" s="42" t="n">
        <v>1</v>
      </c>
      <c r="IQ4" s="42" t="n">
        <v>0</v>
      </c>
      <c r="IR4" s="42" t="n">
        <v>0</v>
      </c>
      <c r="IS4" s="42" t="n">
        <v>0</v>
      </c>
      <c r="IT4" s="42" t="n">
        <v>1</v>
      </c>
      <c r="IU4" s="42" t="n">
        <v>0</v>
      </c>
      <c r="IV4" s="42" t="s">
        <v>346</v>
      </c>
      <c r="IW4" s="42"/>
      <c r="IX4" s="42" t="s">
        <v>347</v>
      </c>
      <c r="IY4" s="42" t="n">
        <v>0</v>
      </c>
      <c r="IZ4" s="42"/>
      <c r="JA4" s="42" t="n">
        <v>0</v>
      </c>
      <c r="JB4" s="39" t="s">
        <v>348</v>
      </c>
      <c r="JC4" s="42" t="n">
        <v>0</v>
      </c>
      <c r="JD4" s="42" t="s">
        <v>301</v>
      </c>
      <c r="JE4" s="42" t="s">
        <v>301</v>
      </c>
      <c r="JF4" s="42" t="s">
        <v>301</v>
      </c>
      <c r="JG4" s="42" t="s">
        <v>301</v>
      </c>
      <c r="JH4" s="42" t="s">
        <v>301</v>
      </c>
      <c r="JI4" s="42" t="s">
        <v>301</v>
      </c>
      <c r="JJ4" s="42" t="s">
        <v>301</v>
      </c>
      <c r="JK4" s="42" t="s">
        <v>301</v>
      </c>
      <c r="JL4" s="42" t="s">
        <v>301</v>
      </c>
      <c r="JM4" s="42" t="s">
        <v>301</v>
      </c>
      <c r="JN4" s="42" t="s">
        <v>301</v>
      </c>
      <c r="JO4" s="42" t="s">
        <v>301</v>
      </c>
      <c r="JP4" s="42" t="s">
        <v>301</v>
      </c>
      <c r="JQ4" s="42" t="s">
        <v>301</v>
      </c>
      <c r="JR4" s="42" t="s">
        <v>301</v>
      </c>
      <c r="JS4" s="42" t="s">
        <v>301</v>
      </c>
      <c r="JT4" s="42" t="s">
        <v>301</v>
      </c>
      <c r="JU4" s="42" t="s">
        <v>301</v>
      </c>
      <c r="JV4" s="42" t="s">
        <v>301</v>
      </c>
      <c r="JW4" s="42" t="s">
        <v>301</v>
      </c>
      <c r="JX4" s="42" t="s">
        <v>301</v>
      </c>
      <c r="JY4" s="42" t="s">
        <v>301</v>
      </c>
      <c r="JZ4" s="42" t="s">
        <v>301</v>
      </c>
      <c r="KA4" s="47" t="n">
        <v>5</v>
      </c>
      <c r="KB4" s="42" t="s">
        <v>301</v>
      </c>
      <c r="KC4" s="42" t="s">
        <v>301</v>
      </c>
      <c r="KD4" s="42" t="s">
        <v>301</v>
      </c>
      <c r="KE4" s="42" t="s">
        <v>301</v>
      </c>
      <c r="KF4" s="40" t="s">
        <v>301</v>
      </c>
      <c r="KG4" s="42" t="s">
        <v>301</v>
      </c>
      <c r="KH4" s="42" t="s">
        <v>301</v>
      </c>
      <c r="KI4" s="42" t="s">
        <v>301</v>
      </c>
      <c r="KJ4" s="42" t="s">
        <v>301</v>
      </c>
      <c r="KK4" s="42" t="s">
        <v>301</v>
      </c>
      <c r="KL4" s="39" t="s">
        <v>349</v>
      </c>
    </row>
    <row r="5" customFormat="false" ht="15.75" hidden="false" customHeight="true" outlineLevel="0" collapsed="false">
      <c r="A5" s="39" t="s">
        <v>350</v>
      </c>
      <c r="B5" s="39" t="s">
        <v>299</v>
      </c>
      <c r="C5" s="40" t="n">
        <v>28668</v>
      </c>
      <c r="D5" s="41" t="n">
        <f aca="false">DATEDIF(C5,E5,"y")</f>
        <v>38</v>
      </c>
      <c r="E5" s="40" t="n">
        <v>42674</v>
      </c>
      <c r="F5" s="39" t="s">
        <v>336</v>
      </c>
      <c r="G5" s="42" t="n">
        <v>1</v>
      </c>
      <c r="H5" s="39" t="s">
        <v>301</v>
      </c>
      <c r="I5" s="42" t="n">
        <v>1</v>
      </c>
      <c r="J5" s="39" t="s">
        <v>351</v>
      </c>
      <c r="K5" s="42" t="n">
        <v>82</v>
      </c>
      <c r="L5" s="42" t="n">
        <v>180</v>
      </c>
      <c r="M5" s="42" t="n">
        <f aca="false">K5/(L5/100)^2</f>
        <v>25.3086419753086</v>
      </c>
      <c r="N5" s="42" t="n">
        <v>1</v>
      </c>
      <c r="O5" s="40" t="n">
        <v>42647</v>
      </c>
      <c r="P5" s="40" t="n">
        <v>42673</v>
      </c>
      <c r="Q5" s="40" t="n">
        <v>42681</v>
      </c>
      <c r="R5" s="40" t="n">
        <v>42702</v>
      </c>
      <c r="S5" s="42" t="n">
        <v>0</v>
      </c>
      <c r="T5" s="42" t="n">
        <v>1</v>
      </c>
      <c r="U5" s="40" t="n">
        <v>45653</v>
      </c>
      <c r="V5" s="42" t="s">
        <v>352</v>
      </c>
      <c r="W5" s="40" t="n">
        <v>42646</v>
      </c>
      <c r="X5" s="42" t="n">
        <v>1</v>
      </c>
      <c r="Y5" s="42" t="s">
        <v>353</v>
      </c>
      <c r="Z5" s="42" t="n">
        <v>1</v>
      </c>
      <c r="AA5" s="42" t="n">
        <v>1</v>
      </c>
      <c r="AB5" s="42" t="s">
        <v>354</v>
      </c>
      <c r="AC5" s="42" t="n">
        <v>0</v>
      </c>
      <c r="AD5" s="42"/>
      <c r="AE5" s="42" t="n">
        <v>0</v>
      </c>
      <c r="AF5" s="42" t="s">
        <v>301</v>
      </c>
      <c r="AG5" s="41" t="n">
        <v>0</v>
      </c>
      <c r="AH5" s="42" t="s">
        <v>301</v>
      </c>
      <c r="AI5" s="41" t="n">
        <v>0</v>
      </c>
      <c r="AJ5" s="42" t="s">
        <v>301</v>
      </c>
      <c r="AK5" s="41" t="n">
        <v>0</v>
      </c>
      <c r="AL5" s="42" t="s">
        <v>301</v>
      </c>
      <c r="AM5" s="42" t="n">
        <v>0</v>
      </c>
      <c r="AN5" s="40" t="n">
        <v>42662</v>
      </c>
      <c r="AO5" s="42" t="s">
        <v>355</v>
      </c>
      <c r="AP5" s="42" t="s">
        <v>356</v>
      </c>
      <c r="AQ5" s="41" t="n">
        <v>0</v>
      </c>
      <c r="AR5" s="42" t="n">
        <v>0</v>
      </c>
      <c r="AS5" s="43" t="s">
        <v>301</v>
      </c>
      <c r="AT5" s="43" t="s">
        <v>301</v>
      </c>
      <c r="AU5" s="42" t="n">
        <v>0</v>
      </c>
      <c r="AV5" s="41" t="s">
        <v>301</v>
      </c>
      <c r="AW5" s="41" t="s">
        <v>301</v>
      </c>
      <c r="AX5" s="42" t="n">
        <v>0</v>
      </c>
      <c r="AY5" s="40" t="s">
        <v>301</v>
      </c>
      <c r="AZ5" s="40" t="s">
        <v>301</v>
      </c>
      <c r="BA5" s="42" t="n">
        <v>0</v>
      </c>
      <c r="BB5" s="40" t="s">
        <v>301</v>
      </c>
      <c r="BC5" s="40" t="s">
        <v>301</v>
      </c>
      <c r="BD5" s="42" t="n">
        <v>0</v>
      </c>
      <c r="BE5" s="41" t="s">
        <v>301</v>
      </c>
      <c r="BF5" s="41" t="s">
        <v>301</v>
      </c>
      <c r="BG5" s="42" t="n">
        <v>0</v>
      </c>
      <c r="BH5" s="41" t="s">
        <v>301</v>
      </c>
      <c r="BI5" s="42" t="s">
        <v>301</v>
      </c>
      <c r="BJ5" s="42" t="n">
        <v>1</v>
      </c>
      <c r="BK5" s="40" t="n">
        <v>42662</v>
      </c>
      <c r="BL5" s="40" t="n">
        <v>42670</v>
      </c>
      <c r="BM5" s="42" t="n">
        <v>0</v>
      </c>
      <c r="BN5" s="41" t="s">
        <v>301</v>
      </c>
      <c r="BO5" s="41" t="s">
        <v>301</v>
      </c>
      <c r="BP5" s="42" t="n">
        <v>1</v>
      </c>
      <c r="BQ5" s="40" t="n">
        <v>42662</v>
      </c>
      <c r="BR5" s="40" t="n">
        <v>42664</v>
      </c>
      <c r="BS5" s="42" t="n">
        <v>0</v>
      </c>
      <c r="BT5" s="43" t="s">
        <v>301</v>
      </c>
      <c r="BU5" s="41" t="s">
        <v>301</v>
      </c>
      <c r="BV5" s="42" t="n">
        <v>1</v>
      </c>
      <c r="BW5" s="40" t="n">
        <v>42662</v>
      </c>
      <c r="BX5" s="40" t="n">
        <v>42662</v>
      </c>
      <c r="BY5" s="42" t="n">
        <v>0</v>
      </c>
      <c r="BZ5" s="40" t="s">
        <v>301</v>
      </c>
      <c r="CA5" s="40" t="s">
        <v>301</v>
      </c>
      <c r="CB5" s="42" t="n">
        <v>0</v>
      </c>
      <c r="CC5" s="40"/>
      <c r="CD5" s="40"/>
      <c r="CE5" s="42" t="n">
        <v>0</v>
      </c>
      <c r="CF5" s="42" t="s">
        <v>301</v>
      </c>
      <c r="CG5" s="42" t="s">
        <v>301</v>
      </c>
      <c r="CH5" s="42" t="n">
        <v>0</v>
      </c>
      <c r="CI5" s="41" t="s">
        <v>301</v>
      </c>
      <c r="CJ5" s="41" t="s">
        <v>301</v>
      </c>
      <c r="CK5" s="42" t="n">
        <v>0</v>
      </c>
      <c r="CL5" s="40" t="s">
        <v>301</v>
      </c>
      <c r="CM5" s="40" t="s">
        <v>301</v>
      </c>
      <c r="CN5" s="42" t="n">
        <v>0</v>
      </c>
      <c r="CO5" s="41" t="s">
        <v>301</v>
      </c>
      <c r="CP5" s="41" t="s">
        <v>301</v>
      </c>
      <c r="CQ5" s="42" t="n">
        <v>1</v>
      </c>
      <c r="CR5" s="40" t="n">
        <v>42670</v>
      </c>
      <c r="CS5" s="40" t="n">
        <v>42672</v>
      </c>
      <c r="CT5" s="42" t="n">
        <v>0</v>
      </c>
      <c r="CU5" s="43" t="s">
        <v>301</v>
      </c>
      <c r="CV5" s="43" t="s">
        <v>301</v>
      </c>
      <c r="CW5" s="42" t="n">
        <v>1</v>
      </c>
      <c r="CX5" s="42" t="n">
        <v>0</v>
      </c>
      <c r="CY5" s="42" t="n">
        <v>0</v>
      </c>
      <c r="CZ5" s="43" t="s">
        <v>301</v>
      </c>
      <c r="DA5" s="43" t="s">
        <v>301</v>
      </c>
      <c r="DB5" s="42" t="n">
        <v>0</v>
      </c>
      <c r="DC5" s="40" t="s">
        <v>301</v>
      </c>
      <c r="DD5" s="42" t="n">
        <v>0</v>
      </c>
      <c r="DE5" s="42" t="n">
        <v>0</v>
      </c>
      <c r="DF5" s="40" t="s">
        <v>301</v>
      </c>
      <c r="DG5" s="42" t="n">
        <v>0</v>
      </c>
      <c r="DH5" s="42" t="n">
        <v>0</v>
      </c>
      <c r="DI5" s="42" t="n">
        <v>0</v>
      </c>
      <c r="DJ5" s="42" t="n">
        <v>0</v>
      </c>
      <c r="DK5" s="42" t="n">
        <v>0</v>
      </c>
      <c r="DL5" s="42" t="n">
        <v>0</v>
      </c>
      <c r="DM5" s="42" t="n">
        <v>0</v>
      </c>
      <c r="DN5" s="42" t="n">
        <v>0</v>
      </c>
      <c r="DO5" s="42" t="n">
        <v>0</v>
      </c>
      <c r="DP5" s="42" t="n">
        <v>0</v>
      </c>
      <c r="DQ5" s="42" t="n">
        <v>0</v>
      </c>
      <c r="DR5" s="42" t="n">
        <v>0</v>
      </c>
      <c r="DS5" s="42" t="n">
        <v>0</v>
      </c>
      <c r="DT5" s="42" t="n">
        <v>0</v>
      </c>
      <c r="DU5" s="42" t="n">
        <v>2</v>
      </c>
      <c r="DV5" s="42" t="n">
        <v>0</v>
      </c>
      <c r="DW5" s="42" t="n">
        <v>0</v>
      </c>
      <c r="DX5" s="42" t="n">
        <v>0</v>
      </c>
      <c r="DY5" s="42" t="n">
        <v>0</v>
      </c>
      <c r="DZ5" s="41" t="n">
        <v>2</v>
      </c>
      <c r="EA5" s="42" t="n">
        <v>1</v>
      </c>
      <c r="EB5" s="42" t="n">
        <v>0</v>
      </c>
      <c r="EC5" s="42" t="n">
        <v>0</v>
      </c>
      <c r="ED5" s="42" t="n">
        <v>1</v>
      </c>
      <c r="EE5" s="42" t="n">
        <v>0</v>
      </c>
      <c r="EF5" s="42" t="n">
        <v>0</v>
      </c>
      <c r="EG5" s="42" t="n">
        <v>0</v>
      </c>
      <c r="EH5" s="42" t="n">
        <v>1</v>
      </c>
      <c r="EI5" s="42" t="n">
        <v>1</v>
      </c>
      <c r="EJ5" s="42" t="n">
        <v>0</v>
      </c>
      <c r="EK5" s="42" t="n">
        <v>0</v>
      </c>
      <c r="EL5" s="42" t="n">
        <v>1</v>
      </c>
      <c r="EM5" s="42" t="n">
        <v>0</v>
      </c>
      <c r="EN5" s="42" t="n">
        <v>3</v>
      </c>
      <c r="EO5" s="42" t="n">
        <v>1</v>
      </c>
      <c r="EP5" s="42" t="n">
        <v>1</v>
      </c>
      <c r="EQ5" s="40" t="n">
        <v>42673</v>
      </c>
      <c r="ER5" s="40" t="n">
        <v>42673</v>
      </c>
      <c r="ES5" s="41" t="n">
        <f aca="false">DATEDIF(EQ5,ER5,"D")</f>
        <v>0</v>
      </c>
      <c r="ET5" s="42" t="s">
        <v>301</v>
      </c>
      <c r="EU5" s="42" t="n">
        <v>0</v>
      </c>
      <c r="EV5" s="40" t="s">
        <v>301</v>
      </c>
      <c r="EW5" s="40" t="s">
        <v>301</v>
      </c>
      <c r="EX5" s="41" t="s">
        <v>301</v>
      </c>
      <c r="EY5" s="42" t="n">
        <v>0</v>
      </c>
      <c r="EZ5" s="42" t="s">
        <v>301</v>
      </c>
      <c r="FA5" s="42" t="s">
        <v>301</v>
      </c>
      <c r="FB5" s="42" t="n">
        <v>1</v>
      </c>
      <c r="FC5" s="40" t="n">
        <v>42680</v>
      </c>
      <c r="FD5" s="40" t="n">
        <v>42686</v>
      </c>
      <c r="FE5" s="41" t="n">
        <v>6</v>
      </c>
      <c r="FF5" s="42" t="n">
        <v>1</v>
      </c>
      <c r="FG5" s="40" t="n">
        <v>42647</v>
      </c>
      <c r="FH5" s="40" t="n">
        <v>42687</v>
      </c>
      <c r="FI5" s="41" t="n">
        <f aca="false">DATEDIF(FG5,FH5,"d")</f>
        <v>40</v>
      </c>
      <c r="FJ5" s="42" t="n">
        <v>-14</v>
      </c>
      <c r="FK5" s="42" t="n">
        <v>0</v>
      </c>
      <c r="FL5" s="42" t="n">
        <v>0.1</v>
      </c>
      <c r="FM5" s="42" t="n">
        <v>11.4</v>
      </c>
      <c r="FN5" s="42" t="n">
        <v>0</v>
      </c>
      <c r="FO5" s="42" t="n">
        <v>33.7</v>
      </c>
      <c r="FP5" s="42" t="n">
        <v>1</v>
      </c>
      <c r="FQ5" s="42" t="n">
        <v>58</v>
      </c>
      <c r="FR5" s="42" t="n">
        <v>119</v>
      </c>
      <c r="FS5" s="42" t="n">
        <v>0</v>
      </c>
      <c r="FT5" s="48" t="s">
        <v>342</v>
      </c>
      <c r="FU5" s="48" t="s">
        <v>301</v>
      </c>
      <c r="FV5" s="40" t="n">
        <v>42673</v>
      </c>
      <c r="FW5" s="39" t="s">
        <v>310</v>
      </c>
      <c r="FX5" s="42" t="n">
        <v>0</v>
      </c>
      <c r="FY5" s="42" t="s">
        <v>311</v>
      </c>
      <c r="FZ5" s="39" t="s">
        <v>311</v>
      </c>
      <c r="GA5" s="42" t="n">
        <v>0</v>
      </c>
      <c r="GB5" s="48" t="s">
        <v>357</v>
      </c>
      <c r="GC5" s="42" t="n">
        <v>1</v>
      </c>
      <c r="GD5" s="42" t="n">
        <v>0</v>
      </c>
      <c r="GE5" s="42" t="n">
        <v>0</v>
      </c>
      <c r="GF5" s="42" t="n">
        <v>1</v>
      </c>
      <c r="GG5" s="42" t="n">
        <v>1</v>
      </c>
      <c r="GH5" s="42" t="n">
        <v>0</v>
      </c>
      <c r="GI5" s="42" t="n">
        <v>0</v>
      </c>
      <c r="GJ5" s="39" t="s">
        <v>343</v>
      </c>
      <c r="GK5" s="42" t="n">
        <v>0</v>
      </c>
      <c r="GL5" s="42" t="n">
        <v>0</v>
      </c>
      <c r="GM5" s="42" t="n">
        <v>1</v>
      </c>
      <c r="GN5" s="42" t="n">
        <v>0</v>
      </c>
      <c r="GO5" s="42" t="n">
        <v>0</v>
      </c>
      <c r="GP5" s="42" t="n">
        <v>1</v>
      </c>
      <c r="GQ5" s="42" t="n">
        <v>0</v>
      </c>
      <c r="GR5" s="42" t="n">
        <v>1</v>
      </c>
      <c r="GS5" s="42" t="n">
        <v>1</v>
      </c>
      <c r="GT5" s="42" t="n">
        <v>0</v>
      </c>
      <c r="GU5" s="42" t="n">
        <v>1</v>
      </c>
      <c r="GV5" s="42" t="n">
        <v>0</v>
      </c>
      <c r="GW5" s="42" t="n">
        <v>0</v>
      </c>
      <c r="GX5" s="42" t="n">
        <v>1</v>
      </c>
      <c r="GY5" s="42" t="n">
        <v>0</v>
      </c>
      <c r="GZ5" s="42" t="n">
        <v>1</v>
      </c>
      <c r="HA5" s="42" t="n">
        <v>0</v>
      </c>
      <c r="HB5" s="42" t="n">
        <v>0</v>
      </c>
      <c r="HC5" s="42" t="n">
        <v>0</v>
      </c>
      <c r="HD5" s="42" t="n">
        <v>0</v>
      </c>
      <c r="HE5" s="42" t="n">
        <v>0</v>
      </c>
      <c r="HF5" s="42" t="n">
        <v>0</v>
      </c>
      <c r="HG5" s="42" t="n">
        <v>0</v>
      </c>
      <c r="HH5" s="42" t="n">
        <v>0</v>
      </c>
      <c r="HI5" s="42" t="n">
        <v>0</v>
      </c>
      <c r="HJ5" s="42" t="n">
        <v>0</v>
      </c>
      <c r="HK5" s="42" t="n">
        <v>1</v>
      </c>
      <c r="HL5" s="39" t="s">
        <v>301</v>
      </c>
      <c r="HM5" s="39" t="s">
        <v>301</v>
      </c>
      <c r="HN5" s="42" t="n">
        <v>0</v>
      </c>
      <c r="HO5" s="42" t="n">
        <v>0</v>
      </c>
      <c r="HP5" s="42" t="n">
        <v>0</v>
      </c>
      <c r="HQ5" s="42" t="s">
        <v>301</v>
      </c>
      <c r="HR5" s="42" t="n">
        <v>0</v>
      </c>
      <c r="HS5" s="42" t="n">
        <v>0</v>
      </c>
      <c r="HT5" s="42"/>
      <c r="HU5" s="42" t="n">
        <v>10</v>
      </c>
      <c r="HV5" s="42" t="n">
        <v>0</v>
      </c>
      <c r="HW5" s="42" t="s">
        <v>301</v>
      </c>
      <c r="HX5" s="42" t="n">
        <v>0</v>
      </c>
      <c r="HY5" s="42" t="s">
        <v>301</v>
      </c>
      <c r="HZ5" s="42" t="n">
        <v>0</v>
      </c>
      <c r="IA5" s="42" t="s">
        <v>301</v>
      </c>
      <c r="IB5" s="42" t="s">
        <v>301</v>
      </c>
      <c r="IC5" s="42" t="s">
        <v>301</v>
      </c>
      <c r="ID5" s="42" t="s">
        <v>301</v>
      </c>
      <c r="IE5" s="42" t="n">
        <v>1</v>
      </c>
      <c r="IF5" s="42" t="n">
        <v>0</v>
      </c>
      <c r="IG5" s="42" t="n">
        <v>0</v>
      </c>
      <c r="IH5" s="42" t="n">
        <v>1</v>
      </c>
      <c r="II5" s="42" t="n">
        <v>0</v>
      </c>
      <c r="IJ5" s="42" t="n">
        <v>0</v>
      </c>
      <c r="IK5" s="42" t="n">
        <v>0</v>
      </c>
      <c r="IL5" s="42" t="n">
        <v>0</v>
      </c>
      <c r="IM5" s="42" t="n">
        <v>1</v>
      </c>
      <c r="IN5" s="42" t="n">
        <v>0</v>
      </c>
      <c r="IO5" s="42" t="n">
        <v>1</v>
      </c>
      <c r="IP5" s="42" t="n">
        <v>1</v>
      </c>
      <c r="IQ5" s="42" t="n">
        <v>0</v>
      </c>
      <c r="IR5" s="42" t="n">
        <v>1</v>
      </c>
      <c r="IS5" s="42" t="n">
        <v>0</v>
      </c>
      <c r="IT5" s="42" t="n">
        <v>0</v>
      </c>
      <c r="IU5" s="42" t="n">
        <v>0</v>
      </c>
      <c r="IV5" s="42" t="s">
        <v>301</v>
      </c>
      <c r="IW5" s="42" t="s">
        <v>301</v>
      </c>
      <c r="IX5" s="42" t="s">
        <v>301</v>
      </c>
      <c r="IY5" s="42" t="s">
        <v>301</v>
      </c>
      <c r="IZ5" s="42" t="s">
        <v>301</v>
      </c>
      <c r="JA5" s="42" t="s">
        <v>301</v>
      </c>
      <c r="JB5" s="39" t="s">
        <v>358</v>
      </c>
      <c r="JC5" s="42" t="n">
        <v>0</v>
      </c>
      <c r="JD5" s="42" t="n">
        <v>0</v>
      </c>
      <c r="JE5" s="42" t="n">
        <v>0</v>
      </c>
      <c r="JF5" s="42" t="n">
        <v>0</v>
      </c>
      <c r="JG5" s="42" t="n">
        <v>0</v>
      </c>
      <c r="JH5" s="42" t="n">
        <v>0</v>
      </c>
      <c r="JI5" s="42" t="n">
        <v>0</v>
      </c>
      <c r="JJ5" s="42" t="n">
        <v>0</v>
      </c>
      <c r="JK5" s="42" t="n">
        <v>0</v>
      </c>
      <c r="JL5" s="42" t="s">
        <v>301</v>
      </c>
      <c r="JM5" s="42" t="n">
        <v>0</v>
      </c>
      <c r="JN5" s="42" t="n">
        <v>0</v>
      </c>
      <c r="JO5" s="42" t="n">
        <v>0</v>
      </c>
      <c r="JP5" s="42" t="n">
        <v>0</v>
      </c>
      <c r="JQ5" s="42" t="n">
        <v>0</v>
      </c>
      <c r="JR5" s="42" t="n">
        <v>0</v>
      </c>
      <c r="JS5" s="42" t="n">
        <v>0</v>
      </c>
      <c r="JT5" s="42" t="n">
        <v>0</v>
      </c>
      <c r="JU5" s="42" t="n">
        <v>0</v>
      </c>
      <c r="JV5" s="42" t="n">
        <v>0</v>
      </c>
      <c r="JW5" s="42" t="n">
        <v>0</v>
      </c>
      <c r="JX5" s="42" t="n">
        <v>0</v>
      </c>
      <c r="JY5" s="42" t="n">
        <v>0</v>
      </c>
      <c r="JZ5" s="42" t="n">
        <v>0</v>
      </c>
      <c r="KA5" s="47" t="n">
        <v>1</v>
      </c>
      <c r="KB5" s="42" t="n">
        <v>0</v>
      </c>
      <c r="KC5" s="42" t="n">
        <v>0</v>
      </c>
      <c r="KD5" s="42" t="n">
        <v>0</v>
      </c>
      <c r="KE5" s="42" t="n">
        <v>0</v>
      </c>
      <c r="KF5" s="40"/>
      <c r="KG5" s="42" t="n">
        <v>1</v>
      </c>
      <c r="KH5" s="42" t="n">
        <v>1</v>
      </c>
      <c r="KI5" s="42" t="n">
        <v>0</v>
      </c>
      <c r="KJ5" s="42" t="n">
        <v>0</v>
      </c>
      <c r="KK5" s="42" t="n">
        <v>0</v>
      </c>
      <c r="KL5" s="39" t="s">
        <v>359</v>
      </c>
    </row>
    <row r="6" customFormat="false" ht="15.75" hidden="false" customHeight="true" outlineLevel="0" collapsed="false">
      <c r="A6" s="39" t="s">
        <v>360</v>
      </c>
      <c r="B6" s="39" t="s">
        <v>299</v>
      </c>
      <c r="C6" s="40" t="n">
        <v>26786</v>
      </c>
      <c r="D6" s="41" t="n">
        <f aca="false">DATEDIF(C6,E6,"y")</f>
        <v>44</v>
      </c>
      <c r="E6" s="40" t="n">
        <v>43150</v>
      </c>
      <c r="F6" s="39" t="s">
        <v>336</v>
      </c>
      <c r="G6" s="42" t="n">
        <v>1</v>
      </c>
      <c r="H6" s="39" t="s">
        <v>361</v>
      </c>
      <c r="I6" s="42" t="n">
        <v>1</v>
      </c>
      <c r="J6" s="39" t="s">
        <v>351</v>
      </c>
      <c r="K6" s="42" t="n">
        <v>80</v>
      </c>
      <c r="L6" s="42" t="n">
        <v>178</v>
      </c>
      <c r="M6" s="42" t="n">
        <f aca="false">K6/(L6/100)^2</f>
        <v>25.2493372048984</v>
      </c>
      <c r="N6" s="42" t="n">
        <v>1</v>
      </c>
      <c r="O6" s="40" t="n">
        <v>43102</v>
      </c>
      <c r="P6" s="40" t="s">
        <v>301</v>
      </c>
      <c r="Q6" s="40" t="s">
        <v>301</v>
      </c>
      <c r="R6" s="40" t="s">
        <v>301</v>
      </c>
      <c r="S6" s="42" t="n">
        <v>0</v>
      </c>
      <c r="T6" s="42" t="n">
        <v>1</v>
      </c>
      <c r="U6" s="40" t="n">
        <v>43390</v>
      </c>
      <c r="V6" s="39" t="s">
        <v>362</v>
      </c>
      <c r="W6" s="40"/>
      <c r="X6" s="42" t="n">
        <v>0</v>
      </c>
      <c r="Y6" s="39" t="s">
        <v>304</v>
      </c>
      <c r="Z6" s="42" t="n">
        <v>3</v>
      </c>
      <c r="AA6" s="42" t="n">
        <v>1</v>
      </c>
      <c r="AB6" s="39" t="s">
        <v>363</v>
      </c>
      <c r="AC6" s="42" t="n">
        <v>1</v>
      </c>
      <c r="AD6" s="39" t="s">
        <v>364</v>
      </c>
      <c r="AE6" s="39" t="n">
        <v>1</v>
      </c>
      <c r="AF6" s="39" t="s">
        <v>364</v>
      </c>
      <c r="AG6" s="41" t="n">
        <v>0</v>
      </c>
      <c r="AH6" s="39" t="s">
        <v>301</v>
      </c>
      <c r="AI6" s="41" t="n">
        <v>0</v>
      </c>
      <c r="AJ6" s="39" t="s">
        <v>301</v>
      </c>
      <c r="AK6" s="41" t="n">
        <v>0</v>
      </c>
      <c r="AL6" s="39" t="s">
        <v>301</v>
      </c>
      <c r="AM6" s="42" t="n">
        <v>1</v>
      </c>
      <c r="AN6" s="40" t="n">
        <v>43123</v>
      </c>
      <c r="AO6" s="39" t="s">
        <v>365</v>
      </c>
      <c r="AP6" s="39" t="s">
        <v>364</v>
      </c>
      <c r="AQ6" s="41" t="n">
        <v>0</v>
      </c>
      <c r="AR6" s="42" t="n">
        <v>1</v>
      </c>
      <c r="AS6" s="40" t="n">
        <v>40941</v>
      </c>
      <c r="AT6" s="40" t="n">
        <v>43084</v>
      </c>
      <c r="AU6" s="42" t="n">
        <v>0</v>
      </c>
      <c r="AV6" s="41" t="s">
        <v>301</v>
      </c>
      <c r="AW6" s="41" t="s">
        <v>301</v>
      </c>
      <c r="AX6" s="42" t="n">
        <v>1</v>
      </c>
      <c r="AY6" s="40" t="n">
        <v>43123</v>
      </c>
      <c r="AZ6" s="40" t="n">
        <v>43249</v>
      </c>
      <c r="BA6" s="42" t="n">
        <v>0</v>
      </c>
      <c r="BB6" s="40" t="s">
        <v>301</v>
      </c>
      <c r="BC6" s="40" t="s">
        <v>301</v>
      </c>
      <c r="BD6" s="42" t="n">
        <v>0</v>
      </c>
      <c r="BE6" s="41" t="s">
        <v>301</v>
      </c>
      <c r="BF6" s="41" t="s">
        <v>301</v>
      </c>
      <c r="BG6" s="42" t="n">
        <v>0</v>
      </c>
      <c r="BH6" s="41" t="s">
        <v>301</v>
      </c>
      <c r="BI6" s="42" t="s">
        <v>301</v>
      </c>
      <c r="BJ6" s="42" t="n">
        <v>0</v>
      </c>
      <c r="BK6" s="39" t="s">
        <v>301</v>
      </c>
      <c r="BL6" s="39" t="s">
        <v>301</v>
      </c>
      <c r="BM6" s="42" t="n">
        <v>0</v>
      </c>
      <c r="BN6" s="41" t="s">
        <v>301</v>
      </c>
      <c r="BO6" s="41" t="s">
        <v>301</v>
      </c>
      <c r="BP6" s="42" t="n">
        <v>1</v>
      </c>
      <c r="BQ6" s="40" t="n">
        <v>43123</v>
      </c>
      <c r="BR6" s="40" t="n">
        <v>43123</v>
      </c>
      <c r="BS6" s="42" t="n">
        <v>1</v>
      </c>
      <c r="BT6" s="40" t="n">
        <v>43185</v>
      </c>
      <c r="BU6" s="41" t="s">
        <v>301</v>
      </c>
      <c r="BV6" s="42" t="n">
        <v>0</v>
      </c>
      <c r="BW6" s="40" t="s">
        <v>301</v>
      </c>
      <c r="BX6" s="40" t="s">
        <v>301</v>
      </c>
      <c r="BY6" s="42" t="n">
        <v>0</v>
      </c>
      <c r="BZ6" s="40" t="s">
        <v>301</v>
      </c>
      <c r="CA6" s="40" t="s">
        <v>301</v>
      </c>
      <c r="CB6" s="42" t="n">
        <v>0</v>
      </c>
      <c r="CC6" s="40"/>
      <c r="CD6" s="40"/>
      <c r="CE6" s="42" t="n">
        <v>0</v>
      </c>
      <c r="CF6" s="42" t="s">
        <v>301</v>
      </c>
      <c r="CG6" s="42" t="s">
        <v>301</v>
      </c>
      <c r="CH6" s="42" t="n">
        <v>0</v>
      </c>
      <c r="CI6" s="41" t="s">
        <v>301</v>
      </c>
      <c r="CJ6" s="41" t="s">
        <v>301</v>
      </c>
      <c r="CK6" s="42" t="n">
        <v>0</v>
      </c>
      <c r="CL6" s="40" t="s">
        <v>301</v>
      </c>
      <c r="CM6" s="40" t="s">
        <v>301</v>
      </c>
      <c r="CN6" s="42" t="n">
        <v>0</v>
      </c>
      <c r="CO6" s="41" t="s">
        <v>301</v>
      </c>
      <c r="CP6" s="41" t="s">
        <v>301</v>
      </c>
      <c r="CQ6" s="42" t="n">
        <v>0</v>
      </c>
      <c r="CR6" s="40" t="s">
        <v>301</v>
      </c>
      <c r="CS6" s="40" t="s">
        <v>301</v>
      </c>
      <c r="CT6" s="42" t="n">
        <v>0</v>
      </c>
      <c r="CU6" s="43" t="s">
        <v>301</v>
      </c>
      <c r="CV6" s="43" t="s">
        <v>301</v>
      </c>
      <c r="CW6" s="42" t="n">
        <v>0</v>
      </c>
      <c r="CX6" s="42" t="n">
        <v>0</v>
      </c>
      <c r="CY6" s="42" t="n">
        <v>0</v>
      </c>
      <c r="CZ6" s="43" t="s">
        <v>301</v>
      </c>
      <c r="DA6" s="43" t="s">
        <v>301</v>
      </c>
      <c r="DB6" s="42" t="n">
        <v>1</v>
      </c>
      <c r="DC6" s="40" t="n">
        <v>43127</v>
      </c>
      <c r="DD6" s="42" t="n">
        <v>0</v>
      </c>
      <c r="DE6" s="42" t="n">
        <v>1</v>
      </c>
      <c r="DF6" s="40" t="n">
        <v>43292</v>
      </c>
      <c r="DG6" s="42" t="n">
        <v>0</v>
      </c>
      <c r="DH6" s="42" t="n">
        <v>0</v>
      </c>
      <c r="DI6" s="42" t="n">
        <v>0</v>
      </c>
      <c r="DJ6" s="42" t="n">
        <v>0</v>
      </c>
      <c r="DK6" s="42" t="n">
        <v>0</v>
      </c>
      <c r="DL6" s="42" t="n">
        <v>0</v>
      </c>
      <c r="DM6" s="42" t="n">
        <v>0</v>
      </c>
      <c r="DN6" s="42" t="n">
        <v>0</v>
      </c>
      <c r="DO6" s="42" t="n">
        <v>1</v>
      </c>
      <c r="DP6" s="42" t="n">
        <v>0</v>
      </c>
      <c r="DQ6" s="42" t="n">
        <v>0</v>
      </c>
      <c r="DR6" s="42" t="n">
        <v>0</v>
      </c>
      <c r="DS6" s="42" t="n">
        <v>0</v>
      </c>
      <c r="DT6" s="42" t="n">
        <v>2</v>
      </c>
      <c r="DU6" s="42" t="n">
        <v>2</v>
      </c>
      <c r="DV6" s="42" t="n">
        <v>0</v>
      </c>
      <c r="DW6" s="42" t="n">
        <v>3</v>
      </c>
      <c r="DX6" s="42" t="n">
        <v>0</v>
      </c>
      <c r="DY6" s="42" t="n">
        <v>0</v>
      </c>
      <c r="DZ6" s="42" t="n">
        <v>6</v>
      </c>
      <c r="EA6" s="42" t="n">
        <v>1</v>
      </c>
      <c r="EB6" s="42" t="n">
        <v>0</v>
      </c>
      <c r="EC6" s="42" t="n">
        <v>0</v>
      </c>
      <c r="ED6" s="42" t="n">
        <v>0</v>
      </c>
      <c r="EE6" s="42" t="n">
        <v>1</v>
      </c>
      <c r="EF6" s="42" t="n">
        <v>0</v>
      </c>
      <c r="EG6" s="42" t="n">
        <v>0</v>
      </c>
      <c r="EH6" s="42" t="s">
        <v>301</v>
      </c>
      <c r="EI6" s="42" t="s">
        <v>301</v>
      </c>
      <c r="EJ6" s="42" t="s">
        <v>301</v>
      </c>
      <c r="EK6" s="42" t="s">
        <v>301</v>
      </c>
      <c r="EL6" s="42" t="s">
        <v>301</v>
      </c>
      <c r="EM6" s="42" t="s">
        <v>301</v>
      </c>
      <c r="EN6" s="42" t="s">
        <v>301</v>
      </c>
      <c r="EO6" s="42" t="s">
        <v>301</v>
      </c>
      <c r="EP6" s="42" t="s">
        <v>301</v>
      </c>
      <c r="EQ6" s="40" t="s">
        <v>301</v>
      </c>
      <c r="ER6" s="40" t="s">
        <v>301</v>
      </c>
      <c r="ES6" s="41" t="s">
        <v>301</v>
      </c>
      <c r="ET6" s="39" t="s">
        <v>301</v>
      </c>
      <c r="EU6" s="39" t="s">
        <v>301</v>
      </c>
      <c r="EV6" s="40" t="s">
        <v>301</v>
      </c>
      <c r="EW6" s="40" t="s">
        <v>301</v>
      </c>
      <c r="EX6" s="41" t="s">
        <v>301</v>
      </c>
      <c r="EY6" s="39" t="s">
        <v>301</v>
      </c>
      <c r="EZ6" s="39" t="s">
        <v>301</v>
      </c>
      <c r="FA6" s="39" t="s">
        <v>301</v>
      </c>
      <c r="FB6" s="39" t="s">
        <v>301</v>
      </c>
      <c r="FC6" s="40" t="s">
        <v>301</v>
      </c>
      <c r="FD6" s="40" t="s">
        <v>301</v>
      </c>
      <c r="FE6" s="39" t="s">
        <v>301</v>
      </c>
      <c r="FF6" s="42" t="n">
        <v>0</v>
      </c>
      <c r="FG6" s="40" t="n">
        <v>43084</v>
      </c>
      <c r="FH6" s="40" t="n">
        <v>43146</v>
      </c>
      <c r="FI6" s="41" t="n">
        <f aca="false">DATEDIF(FG6,FH6,"d")</f>
        <v>62</v>
      </c>
      <c r="FJ6" s="42" t="n">
        <v>39</v>
      </c>
      <c r="FK6" s="42" t="n">
        <v>0</v>
      </c>
      <c r="FL6" s="42" t="s">
        <v>301</v>
      </c>
      <c r="FM6" s="42" t="s">
        <v>301</v>
      </c>
      <c r="FN6" s="42" t="s">
        <v>301</v>
      </c>
      <c r="FO6" s="42" t="s">
        <v>301</v>
      </c>
      <c r="FP6" s="42" t="s">
        <v>301</v>
      </c>
      <c r="FQ6" s="42" t="s">
        <v>301</v>
      </c>
      <c r="FR6" s="42" t="s">
        <v>301</v>
      </c>
      <c r="FS6" s="42" t="n">
        <v>0</v>
      </c>
      <c r="FT6" s="48" t="s">
        <v>342</v>
      </c>
      <c r="FU6" s="48" t="s">
        <v>301</v>
      </c>
      <c r="FV6" s="40" t="n">
        <v>43135</v>
      </c>
      <c r="FW6" s="39" t="s">
        <v>310</v>
      </c>
      <c r="FX6" s="42" t="n">
        <v>0</v>
      </c>
      <c r="FY6" s="42" t="s">
        <v>311</v>
      </c>
      <c r="FZ6" s="39" t="s">
        <v>311</v>
      </c>
      <c r="GA6" s="42" t="n">
        <v>1</v>
      </c>
      <c r="GB6" s="48" t="s">
        <v>366</v>
      </c>
      <c r="GC6" s="42" t="n">
        <v>1</v>
      </c>
      <c r="GD6" s="42" t="n">
        <v>0</v>
      </c>
      <c r="GE6" s="42" t="n">
        <v>0</v>
      </c>
      <c r="GF6" s="42" t="n">
        <v>1</v>
      </c>
      <c r="GG6" s="42" t="n">
        <v>1</v>
      </c>
      <c r="GH6" s="42" t="n">
        <v>0</v>
      </c>
      <c r="GI6" s="42" t="n">
        <v>0</v>
      </c>
      <c r="GJ6" s="39" t="s">
        <v>327</v>
      </c>
      <c r="GK6" s="42" t="n">
        <v>0</v>
      </c>
      <c r="GL6" s="42" t="n">
        <v>0</v>
      </c>
      <c r="GM6" s="42" t="n">
        <v>1</v>
      </c>
      <c r="GN6" s="42" t="n">
        <v>0</v>
      </c>
      <c r="GO6" s="42" t="n">
        <v>1</v>
      </c>
      <c r="GP6" s="42" t="n">
        <v>0</v>
      </c>
      <c r="GQ6" s="42" t="n">
        <v>0</v>
      </c>
      <c r="GR6" s="42" t="n">
        <v>0</v>
      </c>
      <c r="GS6" s="42" t="n">
        <v>1</v>
      </c>
      <c r="GT6" s="42" t="n">
        <v>0</v>
      </c>
      <c r="GU6" s="42" t="n">
        <v>1</v>
      </c>
      <c r="GV6" s="42" t="n">
        <v>15</v>
      </c>
      <c r="GW6" s="42" t="n">
        <v>1</v>
      </c>
      <c r="GX6" s="42" t="n">
        <v>0</v>
      </c>
      <c r="GY6" s="42" t="n">
        <v>0</v>
      </c>
      <c r="GZ6" s="42" t="n">
        <v>1</v>
      </c>
      <c r="HA6" s="42" t="n">
        <v>0</v>
      </c>
      <c r="HB6" s="42" t="n">
        <v>0</v>
      </c>
      <c r="HC6" s="42" t="n">
        <v>1</v>
      </c>
      <c r="HD6" s="42" t="n">
        <v>0</v>
      </c>
      <c r="HE6" s="42" t="n">
        <v>0</v>
      </c>
      <c r="HF6" s="42" t="n">
        <v>0</v>
      </c>
      <c r="HG6" s="42" t="n">
        <v>0</v>
      </c>
      <c r="HH6" s="42" t="n">
        <v>1</v>
      </c>
      <c r="HI6" s="42" t="n">
        <v>1</v>
      </c>
      <c r="HJ6" s="42" t="n">
        <v>0</v>
      </c>
      <c r="HK6" s="42" t="n">
        <v>1</v>
      </c>
      <c r="HL6" s="39" t="s">
        <v>301</v>
      </c>
      <c r="HM6" s="39" t="s">
        <v>301</v>
      </c>
      <c r="HN6" s="42" t="n">
        <v>0</v>
      </c>
      <c r="HO6" s="42" t="n">
        <v>0</v>
      </c>
      <c r="HP6" s="42" t="n">
        <v>0</v>
      </c>
      <c r="HQ6" s="42" t="s">
        <v>301</v>
      </c>
      <c r="HR6" s="42" t="n">
        <v>0</v>
      </c>
      <c r="HS6" s="42" t="s">
        <v>301</v>
      </c>
      <c r="HT6" s="39" t="s">
        <v>301</v>
      </c>
      <c r="HU6" s="39" t="s">
        <v>301</v>
      </c>
      <c r="HV6" s="42" t="s">
        <v>301</v>
      </c>
      <c r="HW6" s="39" t="s">
        <v>301</v>
      </c>
      <c r="HX6" s="42" t="s">
        <v>301</v>
      </c>
      <c r="HY6" s="39" t="s">
        <v>301</v>
      </c>
      <c r="HZ6" s="42" t="s">
        <v>301</v>
      </c>
      <c r="IA6" s="39" t="s">
        <v>301</v>
      </c>
      <c r="IB6" s="39" t="s">
        <v>367</v>
      </c>
      <c r="IC6" s="42" t="n">
        <v>1</v>
      </c>
      <c r="ID6" s="42" t="n">
        <v>0</v>
      </c>
      <c r="IE6" s="42" t="n">
        <v>1</v>
      </c>
      <c r="IF6" s="42" t="n">
        <v>0</v>
      </c>
      <c r="IG6" s="42" t="n">
        <v>1</v>
      </c>
      <c r="IH6" s="42" t="n">
        <v>1</v>
      </c>
      <c r="II6" s="42" t="n">
        <v>0</v>
      </c>
      <c r="IJ6" s="42" t="n">
        <v>0</v>
      </c>
      <c r="IK6" s="42" t="n">
        <v>0</v>
      </c>
      <c r="IL6" s="42" t="n">
        <v>0</v>
      </c>
      <c r="IM6" s="42" t="n">
        <v>1</v>
      </c>
      <c r="IN6" s="42" t="n">
        <v>0</v>
      </c>
      <c r="IO6" s="42" t="n">
        <v>0</v>
      </c>
      <c r="IP6" s="42" t="n">
        <v>0</v>
      </c>
      <c r="IQ6" s="42" t="n">
        <v>1</v>
      </c>
      <c r="IR6" s="42" t="n">
        <v>0</v>
      </c>
      <c r="IS6" s="42" t="n">
        <v>0</v>
      </c>
      <c r="IT6" s="42" t="n">
        <v>1</v>
      </c>
      <c r="IU6" s="42" t="n">
        <v>1</v>
      </c>
      <c r="IV6" s="39" t="s">
        <v>368</v>
      </c>
      <c r="IW6" s="39" t="s">
        <v>369</v>
      </c>
      <c r="IX6" s="39" t="s">
        <v>347</v>
      </c>
      <c r="IY6" s="42" t="n">
        <v>0</v>
      </c>
      <c r="IZ6" s="39" t="s">
        <v>301</v>
      </c>
      <c r="JA6" s="42" t="n">
        <v>0</v>
      </c>
      <c r="JB6" s="39" t="s">
        <v>370</v>
      </c>
      <c r="JC6" s="42" t="n">
        <v>0</v>
      </c>
      <c r="JD6" s="42" t="n">
        <v>0</v>
      </c>
      <c r="JE6" s="42" t="n">
        <v>1</v>
      </c>
      <c r="JF6" s="42" t="n">
        <v>0</v>
      </c>
      <c r="JG6" s="42" t="n">
        <v>0</v>
      </c>
      <c r="JH6" s="42" t="n">
        <v>0</v>
      </c>
      <c r="JI6" s="42" t="n">
        <v>1</v>
      </c>
      <c r="JJ6" s="42" t="n">
        <v>0</v>
      </c>
      <c r="JK6" s="42" t="n">
        <v>0</v>
      </c>
      <c r="JL6" s="42" t="s">
        <v>301</v>
      </c>
      <c r="JM6" s="42"/>
      <c r="JN6" s="42" t="n">
        <v>0</v>
      </c>
      <c r="JO6" s="42" t="n">
        <v>0</v>
      </c>
      <c r="JP6" s="42" t="n">
        <v>0</v>
      </c>
      <c r="JQ6" s="42" t="n">
        <v>0</v>
      </c>
      <c r="JR6" s="42" t="n">
        <v>0</v>
      </c>
      <c r="JS6" s="42" t="n">
        <v>0</v>
      </c>
      <c r="JT6" s="42" t="n">
        <v>0</v>
      </c>
      <c r="JU6" s="42" t="n">
        <v>0</v>
      </c>
      <c r="JV6" s="42" t="n">
        <v>0</v>
      </c>
      <c r="JW6" s="42" t="n">
        <v>0</v>
      </c>
      <c r="JX6" s="42" t="n">
        <v>0</v>
      </c>
      <c r="JY6" s="42" t="n">
        <v>0</v>
      </c>
      <c r="JZ6" s="42" t="n">
        <v>0</v>
      </c>
      <c r="KA6" s="47" t="n">
        <v>3</v>
      </c>
      <c r="KB6" s="42" t="n">
        <v>0</v>
      </c>
      <c r="KC6" s="42" t="n">
        <v>0</v>
      </c>
      <c r="KD6" s="42" t="n">
        <v>0</v>
      </c>
      <c r="KE6" s="42" t="n">
        <v>0</v>
      </c>
      <c r="KF6" s="40" t="s">
        <v>301</v>
      </c>
      <c r="KG6" s="42" t="n">
        <v>0</v>
      </c>
      <c r="KH6" s="42" t="n">
        <v>0</v>
      </c>
      <c r="KI6" s="42" t="s">
        <v>301</v>
      </c>
      <c r="KJ6" s="42" t="s">
        <v>301</v>
      </c>
      <c r="KK6" s="42" t="n">
        <v>1</v>
      </c>
      <c r="KL6" s="39" t="s">
        <v>371</v>
      </c>
    </row>
    <row r="7" customFormat="false" ht="15.75" hidden="false" customHeight="true" outlineLevel="0" collapsed="false">
      <c r="A7" s="39" t="s">
        <v>372</v>
      </c>
      <c r="B7" s="39" t="s">
        <v>299</v>
      </c>
      <c r="C7" s="40" t="n">
        <v>29482</v>
      </c>
      <c r="D7" s="41" t="n">
        <f aca="false">DATEDIF(C7,E7,"y")</f>
        <v>40</v>
      </c>
      <c r="E7" s="40" t="n">
        <v>44112</v>
      </c>
      <c r="F7" s="39" t="s">
        <v>336</v>
      </c>
      <c r="G7" s="42" t="n">
        <v>1</v>
      </c>
      <c r="H7" s="39" t="s">
        <v>373</v>
      </c>
      <c r="I7" s="42" t="n">
        <v>1</v>
      </c>
      <c r="J7" s="39" t="s">
        <v>351</v>
      </c>
      <c r="K7" s="42" t="n">
        <v>67</v>
      </c>
      <c r="L7" s="42" t="n">
        <v>172</v>
      </c>
      <c r="M7" s="42" t="n">
        <f aca="false">K7/(L7/100)^2</f>
        <v>22.6473769605192</v>
      </c>
      <c r="N7" s="42" t="n">
        <v>1</v>
      </c>
      <c r="O7" s="40" t="n">
        <v>44101</v>
      </c>
      <c r="P7" s="40" t="n">
        <v>44112</v>
      </c>
      <c r="Q7" s="40" t="n">
        <v>44145</v>
      </c>
      <c r="R7" s="40" t="n">
        <v>44158</v>
      </c>
      <c r="S7" s="42" t="n">
        <v>0</v>
      </c>
      <c r="T7" s="42" t="n">
        <v>0</v>
      </c>
      <c r="U7" s="40" t="s">
        <v>301</v>
      </c>
      <c r="V7" s="42" t="s">
        <v>374</v>
      </c>
      <c r="W7" s="40" t="n">
        <v>44102</v>
      </c>
      <c r="X7" s="42" t="n">
        <v>1</v>
      </c>
      <c r="Y7" s="42" t="s">
        <v>304</v>
      </c>
      <c r="Z7" s="42" t="n">
        <v>1</v>
      </c>
      <c r="AA7" s="42" t="n">
        <v>1</v>
      </c>
      <c r="AB7" s="42" t="s">
        <v>375</v>
      </c>
      <c r="AC7" s="42" t="n">
        <v>0</v>
      </c>
      <c r="AD7" s="42"/>
      <c r="AE7" s="42" t="n">
        <v>0</v>
      </c>
      <c r="AF7" s="42" t="s">
        <v>301</v>
      </c>
      <c r="AG7" s="41" t="n">
        <v>0</v>
      </c>
      <c r="AH7" s="42" t="s">
        <v>301</v>
      </c>
      <c r="AI7" s="41" t="n">
        <v>0</v>
      </c>
      <c r="AJ7" s="42" t="s">
        <v>301</v>
      </c>
      <c r="AK7" s="41" t="n">
        <v>0</v>
      </c>
      <c r="AL7" s="42" t="s">
        <v>301</v>
      </c>
      <c r="AM7" s="42" t="n">
        <v>0</v>
      </c>
      <c r="AN7" s="40" t="n">
        <v>44105</v>
      </c>
      <c r="AO7" s="42" t="s">
        <v>306</v>
      </c>
      <c r="AP7" s="42" t="s">
        <v>307</v>
      </c>
      <c r="AQ7" s="41" t="n">
        <v>0</v>
      </c>
      <c r="AR7" s="42" t="n">
        <v>1</v>
      </c>
      <c r="AS7" s="40" t="n">
        <v>44102</v>
      </c>
      <c r="AT7" s="40" t="n">
        <v>44105</v>
      </c>
      <c r="AU7" s="42" t="n">
        <v>0</v>
      </c>
      <c r="AV7" s="41" t="s">
        <v>301</v>
      </c>
      <c r="AW7" s="41" t="s">
        <v>301</v>
      </c>
      <c r="AX7" s="42" t="n">
        <v>1</v>
      </c>
      <c r="AY7" s="40" t="n">
        <v>44105</v>
      </c>
      <c r="AZ7" s="40" t="n">
        <v>44105</v>
      </c>
      <c r="BA7" s="42" t="n">
        <v>0</v>
      </c>
      <c r="BB7" s="40" t="s">
        <v>301</v>
      </c>
      <c r="BC7" s="40" t="s">
        <v>301</v>
      </c>
      <c r="BD7" s="42" t="n">
        <v>0</v>
      </c>
      <c r="BE7" s="41" t="s">
        <v>301</v>
      </c>
      <c r="BF7" s="41" t="s">
        <v>301</v>
      </c>
      <c r="BG7" s="42" t="n">
        <v>0</v>
      </c>
      <c r="BH7" s="41" t="s">
        <v>301</v>
      </c>
      <c r="BI7" s="42" t="s">
        <v>301</v>
      </c>
      <c r="BJ7" s="42" t="n">
        <v>0</v>
      </c>
      <c r="BK7" s="39" t="s">
        <v>301</v>
      </c>
      <c r="BL7" s="39" t="s">
        <v>301</v>
      </c>
      <c r="BM7" s="42" t="n">
        <v>0</v>
      </c>
      <c r="BN7" s="41" t="s">
        <v>301</v>
      </c>
      <c r="BO7" s="41" t="s">
        <v>301</v>
      </c>
      <c r="BP7" s="42" t="n">
        <v>1</v>
      </c>
      <c r="BQ7" s="40" t="n">
        <v>44105</v>
      </c>
      <c r="BR7" s="40" t="n">
        <v>44105</v>
      </c>
      <c r="BS7" s="42" t="n">
        <v>0</v>
      </c>
      <c r="BT7" s="40" t="s">
        <v>301</v>
      </c>
      <c r="BU7" s="41" t="s">
        <v>301</v>
      </c>
      <c r="BV7" s="42" t="n">
        <v>0</v>
      </c>
      <c r="BW7" s="40" t="s">
        <v>301</v>
      </c>
      <c r="BX7" s="40" t="s">
        <v>301</v>
      </c>
      <c r="BY7" s="42" t="n">
        <v>0</v>
      </c>
      <c r="BZ7" s="40" t="s">
        <v>301</v>
      </c>
      <c r="CA7" s="40" t="s">
        <v>301</v>
      </c>
      <c r="CB7" s="42" t="n">
        <v>0</v>
      </c>
      <c r="CC7" s="40"/>
      <c r="CD7" s="40"/>
      <c r="CE7" s="42" t="n">
        <v>0</v>
      </c>
      <c r="CF7" s="42" t="s">
        <v>301</v>
      </c>
      <c r="CG7" s="42" t="s">
        <v>301</v>
      </c>
      <c r="CH7" s="42" t="n">
        <v>0</v>
      </c>
      <c r="CI7" s="41" t="s">
        <v>301</v>
      </c>
      <c r="CJ7" s="41" t="s">
        <v>301</v>
      </c>
      <c r="CK7" s="42" t="n">
        <v>0</v>
      </c>
      <c r="CL7" s="40" t="s">
        <v>301</v>
      </c>
      <c r="CM7" s="40" t="s">
        <v>301</v>
      </c>
      <c r="CN7" s="42" t="n">
        <v>0</v>
      </c>
      <c r="CO7" s="41" t="s">
        <v>301</v>
      </c>
      <c r="CP7" s="41" t="s">
        <v>301</v>
      </c>
      <c r="CQ7" s="42" t="n">
        <v>0</v>
      </c>
      <c r="CR7" s="40" t="s">
        <v>301</v>
      </c>
      <c r="CS7" s="40" t="s">
        <v>301</v>
      </c>
      <c r="CT7" s="42" t="n">
        <v>0</v>
      </c>
      <c r="CU7" s="43" t="s">
        <v>301</v>
      </c>
      <c r="CV7" s="43" t="s">
        <v>301</v>
      </c>
      <c r="CW7" s="42" t="n">
        <v>0</v>
      </c>
      <c r="CX7" s="42" t="n">
        <v>0</v>
      </c>
      <c r="CY7" s="42" t="n">
        <v>0</v>
      </c>
      <c r="CZ7" s="43" t="s">
        <v>301</v>
      </c>
      <c r="DA7" s="43" t="s">
        <v>301</v>
      </c>
      <c r="DB7" s="42" t="n">
        <v>0</v>
      </c>
      <c r="DC7" s="40" t="s">
        <v>301</v>
      </c>
      <c r="DD7" s="42" t="n">
        <v>0</v>
      </c>
      <c r="DE7" s="42" t="n">
        <v>0</v>
      </c>
      <c r="DF7" s="40" t="s">
        <v>301</v>
      </c>
      <c r="DG7" s="42" t="n">
        <v>0</v>
      </c>
      <c r="DH7" s="42" t="n">
        <v>0</v>
      </c>
      <c r="DI7" s="42" t="n">
        <v>0</v>
      </c>
      <c r="DJ7" s="42" t="n">
        <v>0</v>
      </c>
      <c r="DK7" s="42" t="n">
        <v>0</v>
      </c>
      <c r="DL7" s="42" t="n">
        <v>0</v>
      </c>
      <c r="DM7" s="42" t="n">
        <v>0</v>
      </c>
      <c r="DN7" s="42" t="n">
        <v>0</v>
      </c>
      <c r="DO7" s="42" t="n">
        <v>0</v>
      </c>
      <c r="DP7" s="42" t="n">
        <v>0</v>
      </c>
      <c r="DQ7" s="42" t="n">
        <v>0</v>
      </c>
      <c r="DR7" s="42" t="n">
        <v>0</v>
      </c>
      <c r="DS7" s="42" t="n">
        <v>0</v>
      </c>
      <c r="DT7" s="42" t="n">
        <v>0</v>
      </c>
      <c r="DU7" s="42" t="n">
        <v>2</v>
      </c>
      <c r="DV7" s="42" t="n">
        <v>0</v>
      </c>
      <c r="DW7" s="42" t="n">
        <v>0</v>
      </c>
      <c r="DX7" s="42" t="n">
        <v>0</v>
      </c>
      <c r="DY7" s="42" t="n">
        <v>0</v>
      </c>
      <c r="DZ7" s="41" t="n">
        <v>2</v>
      </c>
      <c r="EA7" s="42" t="n">
        <v>1</v>
      </c>
      <c r="EB7" s="42" t="n">
        <v>1</v>
      </c>
      <c r="EC7" s="42" t="n">
        <v>0</v>
      </c>
      <c r="ED7" s="42" t="n">
        <v>1</v>
      </c>
      <c r="EE7" s="42" t="n">
        <v>1</v>
      </c>
      <c r="EF7" s="42" t="n">
        <v>1</v>
      </c>
      <c r="EG7" s="42" t="n">
        <v>1</v>
      </c>
      <c r="EH7" s="42" t="n">
        <v>1</v>
      </c>
      <c r="EI7" s="42" t="n">
        <v>4</v>
      </c>
      <c r="EJ7" s="42" t="n">
        <v>4</v>
      </c>
      <c r="EK7" s="42" t="n">
        <v>1</v>
      </c>
      <c r="EL7" s="42" t="n">
        <v>3</v>
      </c>
      <c r="EM7" s="42" t="n">
        <v>2</v>
      </c>
      <c r="EN7" s="42" t="n">
        <v>15</v>
      </c>
      <c r="EO7" s="42" t="n">
        <v>2</v>
      </c>
      <c r="EP7" s="42" t="n">
        <v>1</v>
      </c>
      <c r="EQ7" s="40" t="n">
        <v>44112</v>
      </c>
      <c r="ER7" s="40" t="n">
        <v>44116</v>
      </c>
      <c r="ES7" s="41" t="n">
        <f aca="false">DATEDIF(EQ7,ER7,"D")</f>
        <v>4</v>
      </c>
      <c r="ET7" s="42" t="n">
        <v>1.7</v>
      </c>
      <c r="EU7" s="42" t="n">
        <v>1</v>
      </c>
      <c r="EV7" s="40" t="n">
        <v>44112</v>
      </c>
      <c r="EW7" s="40" t="n">
        <v>44116</v>
      </c>
      <c r="EX7" s="41" t="n">
        <f aca="false">DATEDIF(EV7,EW7,"D")</f>
        <v>4</v>
      </c>
      <c r="EY7" s="42" t="n">
        <v>0</v>
      </c>
      <c r="EZ7" s="42" t="s">
        <v>301</v>
      </c>
      <c r="FA7" s="42" t="s">
        <v>301</v>
      </c>
      <c r="FB7" s="42" t="n">
        <v>0</v>
      </c>
      <c r="FC7" s="40" t="s">
        <v>301</v>
      </c>
      <c r="FD7" s="40" t="s">
        <v>301</v>
      </c>
      <c r="FE7" s="42" t="s">
        <v>301</v>
      </c>
      <c r="FF7" s="42" t="n">
        <v>1</v>
      </c>
      <c r="FG7" s="40" t="n">
        <v>44106</v>
      </c>
      <c r="FH7" s="40" t="n">
        <v>44124</v>
      </c>
      <c r="FI7" s="41" t="n">
        <f aca="false">DATEDIF(FG7,FH7,"d")</f>
        <v>18</v>
      </c>
      <c r="FJ7" s="42" t="n">
        <v>1</v>
      </c>
      <c r="FK7" s="42" t="n">
        <v>0</v>
      </c>
      <c r="FL7" s="42" t="n">
        <v>0.2</v>
      </c>
      <c r="FM7" s="42" t="n">
        <v>7.1</v>
      </c>
      <c r="FN7" s="42" t="n">
        <v>1</v>
      </c>
      <c r="FO7" s="42" t="s">
        <v>301</v>
      </c>
      <c r="FP7" s="42" t="s">
        <v>301</v>
      </c>
      <c r="FQ7" s="42" t="s">
        <v>301</v>
      </c>
      <c r="FR7" s="42" t="n">
        <v>10</v>
      </c>
      <c r="FS7" s="42" t="n">
        <v>1</v>
      </c>
      <c r="FT7" s="48" t="s">
        <v>323</v>
      </c>
      <c r="FU7" s="48" t="s">
        <v>376</v>
      </c>
      <c r="FV7" s="40" t="n">
        <v>44108</v>
      </c>
      <c r="FW7" s="39" t="s">
        <v>310</v>
      </c>
      <c r="FX7" s="42" t="n">
        <v>1</v>
      </c>
      <c r="FY7" s="42" t="s">
        <v>377</v>
      </c>
      <c r="FZ7" s="39" t="s">
        <v>311</v>
      </c>
      <c r="GA7" s="42" t="n">
        <v>0</v>
      </c>
      <c r="GB7" s="48" t="s">
        <v>301</v>
      </c>
      <c r="GC7" s="42" t="n">
        <v>0</v>
      </c>
      <c r="GD7" s="42" t="n">
        <v>0</v>
      </c>
      <c r="GE7" s="42" t="n">
        <v>0</v>
      </c>
      <c r="GF7" s="42" t="n">
        <v>0</v>
      </c>
      <c r="GG7" s="42" t="n">
        <v>0</v>
      </c>
      <c r="GH7" s="42" t="n">
        <v>1</v>
      </c>
      <c r="GI7" s="42" t="n">
        <v>0</v>
      </c>
      <c r="GJ7" s="39" t="s">
        <v>327</v>
      </c>
      <c r="GK7" s="42" t="n">
        <v>0</v>
      </c>
      <c r="GL7" s="42" t="n">
        <v>0</v>
      </c>
      <c r="GM7" s="42" t="n">
        <v>1</v>
      </c>
      <c r="GN7" s="42" t="n">
        <v>0</v>
      </c>
      <c r="GO7" s="42" t="n">
        <v>1</v>
      </c>
      <c r="GP7" s="42" t="n">
        <v>0</v>
      </c>
      <c r="GQ7" s="42" t="n">
        <v>0</v>
      </c>
      <c r="GR7" s="42" t="n">
        <v>0</v>
      </c>
      <c r="GS7" s="42" t="n">
        <v>1</v>
      </c>
      <c r="GT7" s="42" t="n">
        <v>0</v>
      </c>
      <c r="GU7" s="42" t="n">
        <v>1</v>
      </c>
      <c r="GV7" s="42" t="n">
        <v>1</v>
      </c>
      <c r="GW7" s="42" t="n">
        <v>0</v>
      </c>
      <c r="GX7" s="42" t="n">
        <v>1</v>
      </c>
      <c r="GY7" s="42" t="n">
        <v>0</v>
      </c>
      <c r="GZ7" s="42" t="n">
        <v>1</v>
      </c>
      <c r="HA7" s="42" t="n">
        <v>0</v>
      </c>
      <c r="HB7" s="42" t="n">
        <v>1</v>
      </c>
      <c r="HC7" s="42" t="n">
        <v>0</v>
      </c>
      <c r="HD7" s="42" t="n">
        <v>0</v>
      </c>
      <c r="HE7" s="42" t="n">
        <v>0</v>
      </c>
      <c r="HF7" s="42" t="n">
        <v>0</v>
      </c>
      <c r="HG7" s="42" t="n">
        <v>0</v>
      </c>
      <c r="HH7" s="42" t="n">
        <v>1</v>
      </c>
      <c r="HI7" s="42" t="n">
        <v>1</v>
      </c>
      <c r="HJ7" s="42" t="n">
        <v>0</v>
      </c>
      <c r="HK7" s="42" t="n">
        <v>1</v>
      </c>
      <c r="HL7" s="39" t="s">
        <v>301</v>
      </c>
      <c r="HM7" s="39" t="s">
        <v>301</v>
      </c>
      <c r="HN7" s="42" t="n">
        <v>0</v>
      </c>
      <c r="HO7" s="42" t="n">
        <v>0</v>
      </c>
      <c r="HP7" s="42" t="n">
        <v>0</v>
      </c>
      <c r="HQ7" s="42" t="s">
        <v>301</v>
      </c>
      <c r="HR7" s="42" t="n">
        <v>0</v>
      </c>
      <c r="HS7" s="42" t="n">
        <v>1</v>
      </c>
      <c r="HT7" s="42" t="n">
        <v>2.5</v>
      </c>
      <c r="HU7" s="42" t="n">
        <v>6.7</v>
      </c>
      <c r="HV7" s="42" t="n">
        <v>1</v>
      </c>
      <c r="HW7" s="42"/>
      <c r="HX7" s="42" t="n">
        <v>1</v>
      </c>
      <c r="HY7" s="42" t="n">
        <v>0</v>
      </c>
      <c r="HZ7" s="42" t="n">
        <v>1</v>
      </c>
      <c r="IA7" s="42"/>
      <c r="IB7" s="39" t="s">
        <v>367</v>
      </c>
      <c r="IC7" s="42" t="n">
        <v>0</v>
      </c>
      <c r="ID7" s="42" t="n">
        <v>0</v>
      </c>
      <c r="IE7" s="42" t="n">
        <v>1</v>
      </c>
      <c r="IF7" s="42" t="n">
        <v>0</v>
      </c>
      <c r="IG7" s="42" t="n">
        <v>0</v>
      </c>
      <c r="IH7" s="42" t="n">
        <v>1</v>
      </c>
      <c r="II7" s="42" t="n">
        <v>0</v>
      </c>
      <c r="IJ7" s="42" t="n">
        <v>0</v>
      </c>
      <c r="IK7" s="42" t="n">
        <v>0</v>
      </c>
      <c r="IL7" s="42" t="n">
        <v>0</v>
      </c>
      <c r="IM7" s="42" t="n">
        <v>1</v>
      </c>
      <c r="IN7" s="42" t="n">
        <v>0</v>
      </c>
      <c r="IO7" s="42" t="n">
        <v>0</v>
      </c>
      <c r="IP7" s="42" t="n">
        <v>1</v>
      </c>
      <c r="IQ7" s="42" t="n">
        <v>0</v>
      </c>
      <c r="IR7" s="42" t="n">
        <v>1</v>
      </c>
      <c r="IS7" s="42" t="n">
        <v>0</v>
      </c>
      <c r="IT7" s="42" t="n">
        <v>1</v>
      </c>
      <c r="IU7" s="42" t="n">
        <v>0</v>
      </c>
      <c r="IV7" s="42" t="s">
        <v>378</v>
      </c>
      <c r="IW7" s="42"/>
      <c r="IX7" s="42" t="s">
        <v>347</v>
      </c>
      <c r="IY7" s="42" t="n">
        <v>0</v>
      </c>
      <c r="IZ7" s="42" t="s">
        <v>301</v>
      </c>
      <c r="JA7" s="42" t="n">
        <v>0</v>
      </c>
      <c r="JB7" s="39" t="s">
        <v>379</v>
      </c>
      <c r="JC7" s="42" t="n">
        <v>1</v>
      </c>
      <c r="JD7" s="42" t="n">
        <v>0</v>
      </c>
      <c r="JE7" s="42" t="n">
        <v>0</v>
      </c>
      <c r="JF7" s="42" t="n">
        <v>1</v>
      </c>
      <c r="JG7" s="42" t="n">
        <v>0</v>
      </c>
      <c r="JH7" s="42" t="n">
        <v>0</v>
      </c>
      <c r="JI7" s="42" t="n">
        <v>0</v>
      </c>
      <c r="JJ7" s="42" t="n">
        <v>0</v>
      </c>
      <c r="JK7" s="42" t="n">
        <v>1</v>
      </c>
      <c r="JL7" s="42" t="s">
        <v>380</v>
      </c>
      <c r="JM7" s="42" t="n">
        <v>0</v>
      </c>
      <c r="JN7" s="42" t="n">
        <v>0</v>
      </c>
      <c r="JO7" s="42" t="n">
        <v>0</v>
      </c>
      <c r="JP7" s="42" t="n">
        <v>0</v>
      </c>
      <c r="JQ7" s="42" t="n">
        <v>1</v>
      </c>
      <c r="JR7" s="42" t="n">
        <v>0</v>
      </c>
      <c r="JS7" s="42" t="n">
        <v>1</v>
      </c>
      <c r="JT7" s="42" t="n">
        <v>0</v>
      </c>
      <c r="JU7" s="42" t="n">
        <v>1</v>
      </c>
      <c r="JV7" s="42" t="n">
        <v>0</v>
      </c>
      <c r="JW7" s="42" t="n">
        <v>0</v>
      </c>
      <c r="JX7" s="42" t="n">
        <v>0</v>
      </c>
      <c r="JY7" s="42" t="n">
        <v>0</v>
      </c>
      <c r="JZ7" s="42" t="n">
        <v>0</v>
      </c>
      <c r="KA7" s="47" t="n">
        <v>3</v>
      </c>
      <c r="KB7" s="42" t="n">
        <v>1</v>
      </c>
      <c r="KC7" s="42" t="n">
        <v>0</v>
      </c>
      <c r="KD7" s="42" t="n">
        <v>0</v>
      </c>
      <c r="KE7" s="42" t="n">
        <v>1</v>
      </c>
      <c r="KF7" s="40" t="n">
        <v>44364</v>
      </c>
      <c r="KG7" s="42" t="n">
        <v>1</v>
      </c>
      <c r="KH7" s="42" t="n">
        <v>1</v>
      </c>
      <c r="KI7" s="42" t="n">
        <v>0</v>
      </c>
      <c r="KJ7" s="42" t="n">
        <v>0</v>
      </c>
      <c r="KK7" s="42" t="n">
        <v>0</v>
      </c>
      <c r="KL7" s="39" t="s">
        <v>381</v>
      </c>
    </row>
    <row r="8" customFormat="false" ht="15.75" hidden="false" customHeight="true" outlineLevel="0" collapsed="false">
      <c r="A8" s="39" t="s">
        <v>382</v>
      </c>
      <c r="B8" s="39" t="s">
        <v>299</v>
      </c>
      <c r="C8" s="40" t="n">
        <v>38529</v>
      </c>
      <c r="D8" s="41" t="n">
        <f aca="false">DATEDIF(C8,E8,"y")</f>
        <v>15</v>
      </c>
      <c r="E8" s="40" t="n">
        <v>44260</v>
      </c>
      <c r="F8" s="39" t="s">
        <v>336</v>
      </c>
      <c r="G8" s="42" t="n">
        <v>1</v>
      </c>
      <c r="H8" s="39" t="s">
        <v>361</v>
      </c>
      <c r="I8" s="42" t="n">
        <v>1</v>
      </c>
      <c r="J8" s="39" t="s">
        <v>351</v>
      </c>
      <c r="K8" s="42" t="n">
        <v>57</v>
      </c>
      <c r="L8" s="42" t="n">
        <v>170</v>
      </c>
      <c r="M8" s="42" t="n">
        <f aca="false">K8/(L8/100)^2</f>
        <v>19.7231833910035</v>
      </c>
      <c r="N8" s="42" t="n">
        <v>4</v>
      </c>
      <c r="O8" s="40" t="n">
        <v>44188</v>
      </c>
      <c r="P8" s="40" t="n">
        <v>44260</v>
      </c>
      <c r="Q8" s="40" t="n">
        <v>44264</v>
      </c>
      <c r="R8" s="40" t="n">
        <v>44272</v>
      </c>
      <c r="S8" s="42" t="n">
        <v>1</v>
      </c>
      <c r="T8" s="42" t="n">
        <v>1</v>
      </c>
      <c r="U8" s="40" t="n">
        <v>44272</v>
      </c>
      <c r="V8" s="42" t="s">
        <v>383</v>
      </c>
      <c r="W8" s="40" t="n">
        <v>42522</v>
      </c>
      <c r="X8" s="42" t="n">
        <v>0</v>
      </c>
      <c r="Y8" s="42" t="s">
        <v>384</v>
      </c>
      <c r="Z8" s="42" t="n">
        <v>6</v>
      </c>
      <c r="AA8" s="42" t="n">
        <v>1</v>
      </c>
      <c r="AB8" s="42" t="s">
        <v>385</v>
      </c>
      <c r="AC8" s="42" t="n">
        <v>1</v>
      </c>
      <c r="AD8" s="42" t="s">
        <v>386</v>
      </c>
      <c r="AE8" s="42" t="n">
        <v>1</v>
      </c>
      <c r="AF8" s="42" t="s">
        <v>387</v>
      </c>
      <c r="AG8" s="42" t="n">
        <v>1</v>
      </c>
      <c r="AH8" s="42" t="s">
        <v>388</v>
      </c>
      <c r="AI8" s="41" t="n">
        <v>0</v>
      </c>
      <c r="AJ8" s="42" t="s">
        <v>389</v>
      </c>
      <c r="AK8" s="41" t="n">
        <v>0</v>
      </c>
      <c r="AL8" s="42" t="s">
        <v>390</v>
      </c>
      <c r="AM8" s="42" t="n">
        <v>1</v>
      </c>
      <c r="AN8" s="40" t="n">
        <v>44092</v>
      </c>
      <c r="AO8" s="42" t="s">
        <v>391</v>
      </c>
      <c r="AP8" s="42" t="s">
        <v>392</v>
      </c>
      <c r="AQ8" s="42" t="n">
        <v>0</v>
      </c>
      <c r="AR8" s="42" t="n">
        <v>0</v>
      </c>
      <c r="AS8" s="40" t="s">
        <v>301</v>
      </c>
      <c r="AT8" s="40" t="s">
        <v>301</v>
      </c>
      <c r="AU8" s="42" t="n">
        <v>0</v>
      </c>
      <c r="AV8" s="41" t="s">
        <v>301</v>
      </c>
      <c r="AW8" s="41" t="s">
        <v>301</v>
      </c>
      <c r="AX8" s="42" t="n">
        <v>1</v>
      </c>
      <c r="AY8" s="40" t="n">
        <v>44092</v>
      </c>
      <c r="AZ8" s="40" t="n">
        <v>44092</v>
      </c>
      <c r="BA8" s="42" t="n">
        <v>1</v>
      </c>
      <c r="BB8" s="40" t="n">
        <v>44092</v>
      </c>
      <c r="BC8" s="40" t="n">
        <v>44092</v>
      </c>
      <c r="BD8" s="42" t="n">
        <v>0</v>
      </c>
      <c r="BE8" s="41" t="s">
        <v>301</v>
      </c>
      <c r="BF8" s="41" t="s">
        <v>301</v>
      </c>
      <c r="BG8" s="42" t="n">
        <v>0</v>
      </c>
      <c r="BH8" s="41" t="s">
        <v>301</v>
      </c>
      <c r="BI8" s="42" t="s">
        <v>301</v>
      </c>
      <c r="BJ8" s="42" t="n">
        <v>0</v>
      </c>
      <c r="BK8" s="39" t="s">
        <v>301</v>
      </c>
      <c r="BL8" s="39" t="s">
        <v>301</v>
      </c>
      <c r="BM8" s="42" t="n">
        <v>0</v>
      </c>
      <c r="BN8" s="41" t="s">
        <v>301</v>
      </c>
      <c r="BO8" s="41" t="s">
        <v>301</v>
      </c>
      <c r="BP8" s="42" t="n">
        <v>0</v>
      </c>
      <c r="BQ8" s="40" t="s">
        <v>301</v>
      </c>
      <c r="BR8" s="40" t="s">
        <v>301</v>
      </c>
      <c r="BS8" s="42" t="n">
        <v>0</v>
      </c>
      <c r="BT8" s="40" t="s">
        <v>301</v>
      </c>
      <c r="BU8" s="41" t="s">
        <v>301</v>
      </c>
      <c r="BV8" s="42" t="n">
        <v>0</v>
      </c>
      <c r="BW8" s="40" t="s">
        <v>301</v>
      </c>
      <c r="BX8" s="40" t="s">
        <v>301</v>
      </c>
      <c r="BY8" s="42" t="n">
        <v>1</v>
      </c>
      <c r="BZ8" s="40" t="n">
        <v>44092</v>
      </c>
      <c r="CA8" s="40" t="n">
        <v>44092</v>
      </c>
      <c r="CB8" s="42" t="n">
        <v>1</v>
      </c>
      <c r="CC8" s="40" t="n">
        <v>44092</v>
      </c>
      <c r="CD8" s="40" t="n">
        <v>44092</v>
      </c>
      <c r="CE8" s="42" t="n">
        <v>0</v>
      </c>
      <c r="CF8" s="42" t="s">
        <v>301</v>
      </c>
      <c r="CG8" s="42" t="s">
        <v>301</v>
      </c>
      <c r="CH8" s="42" t="n">
        <v>0</v>
      </c>
      <c r="CI8" s="41" t="s">
        <v>301</v>
      </c>
      <c r="CJ8" s="41" t="s">
        <v>301</v>
      </c>
      <c r="CK8" s="42" t="n">
        <v>0</v>
      </c>
      <c r="CL8" s="40" t="s">
        <v>301</v>
      </c>
      <c r="CM8" s="40" t="s">
        <v>301</v>
      </c>
      <c r="CN8" s="42" t="n">
        <v>0</v>
      </c>
      <c r="CO8" s="41" t="s">
        <v>301</v>
      </c>
      <c r="CP8" s="41" t="s">
        <v>301</v>
      </c>
      <c r="CQ8" s="42" t="n">
        <v>0</v>
      </c>
      <c r="CR8" s="40" t="s">
        <v>301</v>
      </c>
      <c r="CS8" s="40" t="s">
        <v>301</v>
      </c>
      <c r="CT8" s="42" t="n">
        <v>0</v>
      </c>
      <c r="CU8" s="43" t="s">
        <v>301</v>
      </c>
      <c r="CV8" s="43" t="s">
        <v>301</v>
      </c>
      <c r="CW8" s="42" t="n">
        <v>0</v>
      </c>
      <c r="CX8" s="42" t="n">
        <v>0</v>
      </c>
      <c r="CY8" s="42" t="n">
        <v>0</v>
      </c>
      <c r="CZ8" s="43" t="s">
        <v>301</v>
      </c>
      <c r="DA8" s="43" t="s">
        <v>301</v>
      </c>
      <c r="DB8" s="42" t="n">
        <v>0</v>
      </c>
      <c r="DC8" s="40" t="s">
        <v>301</v>
      </c>
      <c r="DD8" s="42" t="n">
        <v>0</v>
      </c>
      <c r="DE8" s="42" t="n">
        <v>1</v>
      </c>
      <c r="DF8" s="40" t="n">
        <v>44092</v>
      </c>
      <c r="DG8" s="42" t="n">
        <v>0</v>
      </c>
      <c r="DH8" s="42" t="n">
        <v>0</v>
      </c>
      <c r="DI8" s="42" t="n">
        <v>0</v>
      </c>
      <c r="DJ8" s="42" t="n">
        <v>0</v>
      </c>
      <c r="DK8" s="42" t="n">
        <v>0</v>
      </c>
      <c r="DL8" s="42" t="n">
        <v>0</v>
      </c>
      <c r="DM8" s="42" t="n">
        <v>0</v>
      </c>
      <c r="DN8" s="42" t="n">
        <v>0</v>
      </c>
      <c r="DO8" s="42" t="n">
        <v>0</v>
      </c>
      <c r="DP8" s="42" t="n">
        <v>1</v>
      </c>
      <c r="DQ8" s="42" t="n">
        <v>0</v>
      </c>
      <c r="DR8" s="42" t="n">
        <v>0</v>
      </c>
      <c r="DS8" s="42" t="n">
        <v>0</v>
      </c>
      <c r="DT8" s="42" t="n">
        <v>0</v>
      </c>
      <c r="DU8" s="42" t="n">
        <v>0</v>
      </c>
      <c r="DV8" s="42" t="n">
        <v>2</v>
      </c>
      <c r="DW8" s="42" t="n">
        <v>0</v>
      </c>
      <c r="DX8" s="42" t="n">
        <v>0</v>
      </c>
      <c r="DY8" s="42" t="n">
        <v>0</v>
      </c>
      <c r="DZ8" s="41" t="n">
        <v>3</v>
      </c>
      <c r="EA8" s="42" t="n">
        <v>1</v>
      </c>
      <c r="EB8" s="42" t="n">
        <v>0</v>
      </c>
      <c r="EC8" s="42" t="n">
        <v>0</v>
      </c>
      <c r="ED8" s="42" t="n">
        <v>0</v>
      </c>
      <c r="EE8" s="42" t="n">
        <v>0</v>
      </c>
      <c r="EF8" s="42" t="n">
        <v>0</v>
      </c>
      <c r="EG8" s="42" t="n">
        <v>0</v>
      </c>
      <c r="EH8" s="42" t="n">
        <v>0</v>
      </c>
      <c r="EI8" s="42" t="n">
        <v>2</v>
      </c>
      <c r="EJ8" s="42" t="n">
        <v>0</v>
      </c>
      <c r="EK8" s="42" t="n">
        <v>0</v>
      </c>
      <c r="EL8" s="42" t="n">
        <v>0</v>
      </c>
      <c r="EM8" s="42" t="n">
        <v>0</v>
      </c>
      <c r="EN8" s="42" t="n">
        <v>2</v>
      </c>
      <c r="EO8" s="42" t="n">
        <v>0</v>
      </c>
      <c r="EP8" s="42" t="n">
        <v>0</v>
      </c>
      <c r="EQ8" s="40" t="n">
        <v>44260</v>
      </c>
      <c r="ER8" s="40" t="n">
        <v>44261</v>
      </c>
      <c r="ES8" s="41" t="n">
        <f aca="false">DATEDIF(EQ8,ER8,"D")</f>
        <v>1</v>
      </c>
      <c r="ET8" s="42" t="n">
        <v>0.9</v>
      </c>
      <c r="EU8" s="42" t="n">
        <v>1</v>
      </c>
      <c r="EV8" s="40" t="n">
        <v>44260</v>
      </c>
      <c r="EW8" s="40" t="n">
        <v>44261</v>
      </c>
      <c r="EX8" s="41" t="n">
        <f aca="false">DATEDIF(EV8,EW8,"D")</f>
        <v>1</v>
      </c>
      <c r="EY8" s="42" t="n">
        <v>0</v>
      </c>
      <c r="EZ8" s="42" t="s">
        <v>301</v>
      </c>
      <c r="FA8" s="42" t="s">
        <v>301</v>
      </c>
      <c r="FB8" s="42" t="n">
        <v>1</v>
      </c>
      <c r="FC8" s="40" t="n">
        <v>44195</v>
      </c>
      <c r="FD8" s="40" t="n">
        <v>44210</v>
      </c>
      <c r="FE8" s="42" t="n">
        <v>15</v>
      </c>
      <c r="FF8" s="42" t="n">
        <v>1</v>
      </c>
      <c r="FG8" s="40" t="n">
        <v>44092</v>
      </c>
      <c r="FH8" s="40" t="n">
        <v>44272</v>
      </c>
      <c r="FI8" s="41" t="n">
        <f aca="false">DATEDIF(FG8,FH8,"d")</f>
        <v>180</v>
      </c>
      <c r="FJ8" s="42" t="n">
        <v>0</v>
      </c>
      <c r="FK8" s="42" t="n">
        <v>0</v>
      </c>
      <c r="FL8" s="42" t="n">
        <v>0.2</v>
      </c>
      <c r="FM8" s="42" t="n">
        <v>8.2</v>
      </c>
      <c r="FN8" s="42" t="n">
        <v>1</v>
      </c>
      <c r="FO8" s="42" t="n">
        <v>26</v>
      </c>
      <c r="FP8" s="42" t="n">
        <v>1</v>
      </c>
      <c r="FQ8" s="42" t="n">
        <v>160</v>
      </c>
      <c r="FR8" s="42" t="n">
        <v>62</v>
      </c>
      <c r="FS8" s="42" t="n">
        <v>0</v>
      </c>
      <c r="FT8" s="48" t="s">
        <v>342</v>
      </c>
      <c r="FU8" s="48" t="s">
        <v>301</v>
      </c>
      <c r="FV8" s="40" t="n">
        <v>44260</v>
      </c>
      <c r="FW8" s="39" t="s">
        <v>393</v>
      </c>
      <c r="FX8" s="42" t="n">
        <v>0</v>
      </c>
      <c r="FY8" s="42" t="s">
        <v>311</v>
      </c>
      <c r="FZ8" s="39" t="s">
        <v>311</v>
      </c>
      <c r="GA8" s="42" t="n">
        <v>1</v>
      </c>
      <c r="GB8" s="48" t="s">
        <v>366</v>
      </c>
      <c r="GC8" s="42" t="n">
        <v>0</v>
      </c>
      <c r="GD8" s="42" t="n">
        <v>0</v>
      </c>
      <c r="GE8" s="42" t="n">
        <v>0</v>
      </c>
      <c r="GF8" s="42" t="n">
        <v>0</v>
      </c>
      <c r="GG8" s="42" t="n">
        <v>0</v>
      </c>
      <c r="GH8" s="42" t="n">
        <v>0</v>
      </c>
      <c r="GI8" s="42" t="n">
        <v>0</v>
      </c>
      <c r="GJ8" s="39" t="s">
        <v>343</v>
      </c>
      <c r="GK8" s="42" t="n">
        <v>0</v>
      </c>
      <c r="GL8" s="42" t="n">
        <v>0</v>
      </c>
      <c r="GM8" s="42" t="n">
        <v>1</v>
      </c>
      <c r="GN8" s="42" t="n">
        <v>0</v>
      </c>
      <c r="GO8" s="42" t="n">
        <v>1</v>
      </c>
      <c r="GP8" s="42" t="n">
        <v>0</v>
      </c>
      <c r="GQ8" s="42" t="n">
        <v>1</v>
      </c>
      <c r="GR8" s="42" t="n">
        <v>1</v>
      </c>
      <c r="GS8" s="42" t="n">
        <v>1</v>
      </c>
      <c r="GT8" s="42" t="n">
        <v>1</v>
      </c>
      <c r="GU8" s="42" t="n">
        <v>1</v>
      </c>
      <c r="GV8" s="42" t="n">
        <v>0</v>
      </c>
      <c r="GW8" s="42" t="n">
        <v>0</v>
      </c>
      <c r="GX8" s="42" t="n">
        <v>1</v>
      </c>
      <c r="GY8" s="42" t="n">
        <v>0</v>
      </c>
      <c r="GZ8" s="42" t="n">
        <v>1</v>
      </c>
      <c r="HA8" s="42" t="n">
        <v>0</v>
      </c>
      <c r="HB8" s="42" t="n">
        <v>0</v>
      </c>
      <c r="HC8" s="42" t="n">
        <v>1</v>
      </c>
      <c r="HD8" s="42" t="n">
        <v>0</v>
      </c>
      <c r="HE8" s="42" t="n">
        <v>0</v>
      </c>
      <c r="HF8" s="42" t="n">
        <v>0</v>
      </c>
      <c r="HG8" s="42" t="n">
        <v>0</v>
      </c>
      <c r="HH8" s="42" t="n">
        <v>1</v>
      </c>
      <c r="HI8" s="42" t="n">
        <v>1</v>
      </c>
      <c r="HJ8" s="42" t="n">
        <v>0</v>
      </c>
      <c r="HK8" s="42" t="n">
        <v>1</v>
      </c>
      <c r="HL8" s="0" t="s">
        <v>301</v>
      </c>
      <c r="HM8" s="39" t="s">
        <v>301</v>
      </c>
      <c r="HN8" s="42" t="n">
        <v>0</v>
      </c>
      <c r="HO8" s="42" t="n">
        <v>0</v>
      </c>
      <c r="HP8" s="42" t="n">
        <v>0</v>
      </c>
      <c r="HQ8" s="42" t="s">
        <v>301</v>
      </c>
      <c r="HR8" s="42" t="n">
        <v>0</v>
      </c>
      <c r="HS8" s="42" t="n">
        <v>1</v>
      </c>
      <c r="HT8" s="42" t="n">
        <v>3</v>
      </c>
      <c r="HU8" s="42" t="n">
        <v>8.7</v>
      </c>
      <c r="HV8" s="42" t="n">
        <v>1</v>
      </c>
      <c r="HW8" s="42" t="n">
        <v>2</v>
      </c>
      <c r="HX8" s="42" t="n">
        <v>1</v>
      </c>
      <c r="HY8" s="42" t="n">
        <v>2</v>
      </c>
      <c r="HZ8" s="42" t="n">
        <v>1</v>
      </c>
      <c r="IA8" s="42" t="n">
        <v>1</v>
      </c>
      <c r="IB8" s="39" t="s">
        <v>367</v>
      </c>
      <c r="IC8" s="42" t="n">
        <v>0</v>
      </c>
      <c r="ID8" s="42" t="n">
        <v>0</v>
      </c>
      <c r="IE8" s="42" t="n">
        <v>1</v>
      </c>
      <c r="IF8" s="42" t="n">
        <v>1</v>
      </c>
      <c r="IG8" s="42" t="n">
        <v>0</v>
      </c>
      <c r="IH8" s="42" t="n">
        <v>1</v>
      </c>
      <c r="II8" s="42" t="n">
        <v>0</v>
      </c>
      <c r="IJ8" s="42" t="n">
        <v>0</v>
      </c>
      <c r="IK8" s="42" t="n">
        <v>0</v>
      </c>
      <c r="IL8" s="42" t="n">
        <v>1</v>
      </c>
      <c r="IM8" s="42" t="n">
        <v>0</v>
      </c>
      <c r="IN8" s="42" t="n">
        <v>0</v>
      </c>
      <c r="IO8" s="42" t="n">
        <v>0</v>
      </c>
      <c r="IP8" s="42" t="n">
        <v>0</v>
      </c>
      <c r="IQ8" s="42" t="n">
        <v>0</v>
      </c>
      <c r="IR8" s="42" t="n">
        <v>0</v>
      </c>
      <c r="IS8" s="42" t="n">
        <v>0</v>
      </c>
      <c r="IT8" s="42" t="n">
        <v>1</v>
      </c>
      <c r="IU8" s="42" t="n">
        <v>0</v>
      </c>
      <c r="IV8" s="42" t="s">
        <v>394</v>
      </c>
      <c r="IW8" s="42"/>
      <c r="IX8" s="42" t="s">
        <v>395</v>
      </c>
      <c r="IY8" s="42" t="n">
        <v>0</v>
      </c>
      <c r="IZ8" s="42" t="s">
        <v>301</v>
      </c>
      <c r="JA8" s="42" t="n">
        <v>0</v>
      </c>
      <c r="JB8" s="39" t="s">
        <v>332</v>
      </c>
      <c r="JC8" s="42" t="n">
        <v>1</v>
      </c>
      <c r="JD8" s="42" t="n">
        <v>0</v>
      </c>
      <c r="JE8" s="42" t="n">
        <v>1</v>
      </c>
      <c r="JF8" s="42" t="n">
        <v>0</v>
      </c>
      <c r="JG8" s="42" t="n">
        <v>0</v>
      </c>
      <c r="JH8" s="42" t="n">
        <v>0</v>
      </c>
      <c r="JI8" s="42" t="n">
        <v>0</v>
      </c>
      <c r="JJ8" s="42" t="n">
        <v>0</v>
      </c>
      <c r="JK8" s="42" t="n">
        <v>0</v>
      </c>
      <c r="JL8" s="42" t="s">
        <v>301</v>
      </c>
      <c r="JM8" s="42" t="n">
        <v>0</v>
      </c>
      <c r="JN8" s="42" t="n">
        <v>0</v>
      </c>
      <c r="JO8" s="42" t="n">
        <v>0</v>
      </c>
      <c r="JP8" s="42" t="n">
        <v>0</v>
      </c>
      <c r="JQ8" s="42" t="n">
        <v>1</v>
      </c>
      <c r="JR8" s="42" t="n">
        <v>0</v>
      </c>
      <c r="JS8" s="42" t="n">
        <v>0</v>
      </c>
      <c r="JT8" s="42" t="n">
        <v>0</v>
      </c>
      <c r="JU8" s="42" t="n">
        <v>0</v>
      </c>
      <c r="JV8" s="42" t="n">
        <v>0</v>
      </c>
      <c r="JW8" s="42" t="n">
        <v>0</v>
      </c>
      <c r="JX8" s="42" t="n">
        <v>0</v>
      </c>
      <c r="JY8" s="42" t="n">
        <v>0</v>
      </c>
      <c r="JZ8" s="42" t="n">
        <v>0</v>
      </c>
      <c r="KA8" s="47" t="n">
        <v>5</v>
      </c>
      <c r="KB8" s="42" t="n">
        <v>1</v>
      </c>
      <c r="KC8" s="42" t="n">
        <v>1</v>
      </c>
      <c r="KD8" s="42" t="n">
        <v>0</v>
      </c>
      <c r="KE8" s="42" t="n">
        <v>0</v>
      </c>
      <c r="KF8" s="40" t="s">
        <v>301</v>
      </c>
      <c r="KG8" s="42" t="n">
        <v>0</v>
      </c>
      <c r="KH8" s="42" t="n">
        <v>0</v>
      </c>
      <c r="KI8" s="42" t="n">
        <v>0</v>
      </c>
      <c r="KJ8" s="42" t="n">
        <v>0</v>
      </c>
      <c r="KK8" s="42" t="n">
        <v>0</v>
      </c>
      <c r="KL8" s="39" t="s">
        <v>396</v>
      </c>
    </row>
    <row r="9" customFormat="false" ht="15.75" hidden="false" customHeight="true" outlineLevel="0" collapsed="false">
      <c r="A9" s="39" t="s">
        <v>397</v>
      </c>
      <c r="B9" s="39" t="s">
        <v>299</v>
      </c>
      <c r="C9" s="40" t="n">
        <v>28678</v>
      </c>
      <c r="D9" s="41" t="n">
        <f aca="false">DATEDIF(C9,E9,"y")</f>
        <v>43</v>
      </c>
      <c r="E9" s="40" t="n">
        <v>44482</v>
      </c>
      <c r="F9" s="39" t="s">
        <v>336</v>
      </c>
      <c r="G9" s="42" t="n">
        <v>1</v>
      </c>
      <c r="H9" s="39" t="s">
        <v>361</v>
      </c>
      <c r="I9" s="42" t="n">
        <v>0</v>
      </c>
      <c r="J9" s="39" t="s">
        <v>302</v>
      </c>
      <c r="K9" s="42" t="n">
        <v>74</v>
      </c>
      <c r="L9" s="42" t="n">
        <v>168</v>
      </c>
      <c r="M9" s="42" t="n">
        <f aca="false">K9/(L9/100)^2</f>
        <v>26.218820861678</v>
      </c>
      <c r="N9" s="42" t="n">
        <v>1</v>
      </c>
      <c r="O9" s="40" t="n">
        <v>44450</v>
      </c>
      <c r="P9" s="40" t="n">
        <v>44480</v>
      </c>
      <c r="Q9" s="40" t="n">
        <v>44500</v>
      </c>
      <c r="R9" s="40" t="n">
        <v>44516</v>
      </c>
      <c r="S9" s="42" t="n">
        <v>0</v>
      </c>
      <c r="T9" s="42" t="n">
        <v>0</v>
      </c>
      <c r="U9" s="40" t="s">
        <v>301</v>
      </c>
      <c r="V9" s="42" t="s">
        <v>374</v>
      </c>
      <c r="W9" s="40" t="n">
        <v>44448</v>
      </c>
      <c r="X9" s="42" t="n">
        <v>1</v>
      </c>
      <c r="Y9" s="42" t="s">
        <v>374</v>
      </c>
      <c r="Z9" s="42" t="n">
        <v>1</v>
      </c>
      <c r="AA9" s="42" t="n">
        <v>1</v>
      </c>
      <c r="AB9" s="42" t="s">
        <v>305</v>
      </c>
      <c r="AC9" s="42" t="n">
        <v>0</v>
      </c>
      <c r="AD9" s="42"/>
      <c r="AE9" s="42" t="n">
        <v>0</v>
      </c>
      <c r="AF9" s="42" t="s">
        <v>301</v>
      </c>
      <c r="AG9" s="41" t="n">
        <v>0</v>
      </c>
      <c r="AH9" s="42" t="s">
        <v>301</v>
      </c>
      <c r="AI9" s="41" t="n">
        <v>0</v>
      </c>
      <c r="AJ9" s="42" t="s">
        <v>301</v>
      </c>
      <c r="AK9" s="41" t="n">
        <v>0</v>
      </c>
      <c r="AL9" s="42" t="s">
        <v>301</v>
      </c>
      <c r="AM9" s="42" t="n">
        <v>0</v>
      </c>
      <c r="AN9" s="40" t="n">
        <v>44466</v>
      </c>
      <c r="AO9" s="42" t="s">
        <v>306</v>
      </c>
      <c r="AP9" s="42" t="s">
        <v>307</v>
      </c>
      <c r="AQ9" s="42" t="n">
        <v>0</v>
      </c>
      <c r="AR9" s="42" t="n">
        <v>1</v>
      </c>
      <c r="AS9" s="40" t="n">
        <v>44459</v>
      </c>
      <c r="AT9" s="40" t="n">
        <v>44459</v>
      </c>
      <c r="AU9" s="42" t="n">
        <v>0</v>
      </c>
      <c r="AV9" s="41" t="s">
        <v>301</v>
      </c>
      <c r="AW9" s="41" t="s">
        <v>301</v>
      </c>
      <c r="AX9" s="42" t="n">
        <v>1</v>
      </c>
      <c r="AY9" s="40" t="n">
        <v>46650</v>
      </c>
      <c r="AZ9" s="40" t="n">
        <v>44466</v>
      </c>
      <c r="BA9" s="42" t="n">
        <v>0</v>
      </c>
      <c r="BB9" s="40" t="s">
        <v>301</v>
      </c>
      <c r="BC9" s="40" t="s">
        <v>301</v>
      </c>
      <c r="BD9" s="42" t="n">
        <v>0</v>
      </c>
      <c r="BE9" s="41" t="s">
        <v>301</v>
      </c>
      <c r="BF9" s="41" t="s">
        <v>301</v>
      </c>
      <c r="BG9" s="42" t="n">
        <v>0</v>
      </c>
      <c r="BH9" s="41" t="s">
        <v>301</v>
      </c>
      <c r="BI9" s="42" t="s">
        <v>301</v>
      </c>
      <c r="BJ9" s="42" t="n">
        <v>0</v>
      </c>
      <c r="BK9" s="39" t="s">
        <v>301</v>
      </c>
      <c r="BL9" s="39" t="s">
        <v>301</v>
      </c>
      <c r="BM9" s="42" t="n">
        <v>0</v>
      </c>
      <c r="BN9" s="41" t="s">
        <v>301</v>
      </c>
      <c r="BO9" s="41" t="s">
        <v>301</v>
      </c>
      <c r="BP9" s="42" t="n">
        <v>1</v>
      </c>
      <c r="BQ9" s="40" t="n">
        <v>44459</v>
      </c>
      <c r="BR9" s="40" t="n">
        <v>44462</v>
      </c>
      <c r="BS9" s="42" t="n">
        <v>0</v>
      </c>
      <c r="BT9" s="40" t="s">
        <v>301</v>
      </c>
      <c r="BU9" s="41" t="s">
        <v>301</v>
      </c>
      <c r="BV9" s="42" t="n">
        <v>0</v>
      </c>
      <c r="BW9" s="40" t="s">
        <v>301</v>
      </c>
      <c r="BX9" s="40" t="s">
        <v>301</v>
      </c>
      <c r="BY9" s="42" t="n">
        <v>0</v>
      </c>
      <c r="BZ9" s="40" t="s">
        <v>301</v>
      </c>
      <c r="CA9" s="40" t="s">
        <v>301</v>
      </c>
      <c r="CB9" s="42" t="n">
        <v>0</v>
      </c>
      <c r="CC9" s="40"/>
      <c r="CD9" s="40"/>
      <c r="CE9" s="42" t="n">
        <v>0</v>
      </c>
      <c r="CF9" s="42" t="s">
        <v>301</v>
      </c>
      <c r="CG9" s="42" t="s">
        <v>301</v>
      </c>
      <c r="CH9" s="42" t="n">
        <v>0</v>
      </c>
      <c r="CI9" s="41" t="s">
        <v>301</v>
      </c>
      <c r="CJ9" s="41" t="s">
        <v>301</v>
      </c>
      <c r="CK9" s="42" t="n">
        <v>0</v>
      </c>
      <c r="CL9" s="40" t="s">
        <v>301</v>
      </c>
      <c r="CM9" s="40" t="s">
        <v>301</v>
      </c>
      <c r="CN9" s="42" t="n">
        <v>0</v>
      </c>
      <c r="CO9" s="41" t="s">
        <v>301</v>
      </c>
      <c r="CP9" s="41" t="s">
        <v>301</v>
      </c>
      <c r="CQ9" s="42" t="n">
        <v>0</v>
      </c>
      <c r="CR9" s="40" t="s">
        <v>301</v>
      </c>
      <c r="CS9" s="40" t="s">
        <v>301</v>
      </c>
      <c r="CT9" s="42" t="n">
        <v>0</v>
      </c>
      <c r="CU9" s="43" t="s">
        <v>301</v>
      </c>
      <c r="CV9" s="43" t="s">
        <v>301</v>
      </c>
      <c r="CW9" s="42" t="n">
        <v>0</v>
      </c>
      <c r="CX9" s="42" t="n">
        <v>0</v>
      </c>
      <c r="CY9" s="42" t="n">
        <v>0</v>
      </c>
      <c r="CZ9" s="43" t="s">
        <v>301</v>
      </c>
      <c r="DA9" s="43" t="s">
        <v>301</v>
      </c>
      <c r="DB9" s="42" t="n">
        <v>0</v>
      </c>
      <c r="DC9" s="40" t="s">
        <v>301</v>
      </c>
      <c r="DD9" s="42" t="n">
        <v>0</v>
      </c>
      <c r="DE9" s="42" t="n">
        <v>0</v>
      </c>
      <c r="DF9" s="40" t="s">
        <v>301</v>
      </c>
      <c r="DG9" s="42" t="n">
        <v>0</v>
      </c>
      <c r="DH9" s="42" t="n">
        <v>0</v>
      </c>
      <c r="DI9" s="42" t="n">
        <v>0</v>
      </c>
      <c r="DJ9" s="42" t="n">
        <v>0</v>
      </c>
      <c r="DK9" s="42" t="n">
        <v>0</v>
      </c>
      <c r="DL9" s="42" t="n">
        <v>0</v>
      </c>
      <c r="DM9" s="42" t="n">
        <v>0</v>
      </c>
      <c r="DN9" s="42" t="n">
        <v>0</v>
      </c>
      <c r="DO9" s="42" t="n">
        <v>0</v>
      </c>
      <c r="DP9" s="42" t="n">
        <v>0</v>
      </c>
      <c r="DQ9" s="42" t="n">
        <v>0</v>
      </c>
      <c r="DR9" s="42" t="n">
        <v>0</v>
      </c>
      <c r="DS9" s="42" t="n">
        <v>0</v>
      </c>
      <c r="DT9" s="42" t="n">
        <v>0</v>
      </c>
      <c r="DU9" s="42" t="n">
        <v>2</v>
      </c>
      <c r="DV9" s="42" t="n">
        <v>0</v>
      </c>
      <c r="DW9" s="42" t="n">
        <v>0</v>
      </c>
      <c r="DX9" s="42" t="n">
        <v>0</v>
      </c>
      <c r="DY9" s="42" t="n">
        <v>0</v>
      </c>
      <c r="DZ9" s="41" t="n">
        <v>2</v>
      </c>
      <c r="EA9" s="42" t="n">
        <v>1</v>
      </c>
      <c r="EB9" s="42" t="n">
        <v>0</v>
      </c>
      <c r="EC9" s="42" t="n">
        <v>0</v>
      </c>
      <c r="ED9" s="42" t="n">
        <v>1</v>
      </c>
      <c r="EE9" s="42" t="n">
        <v>0</v>
      </c>
      <c r="EF9" s="42" t="n">
        <v>0</v>
      </c>
      <c r="EG9" s="42" t="n">
        <v>0</v>
      </c>
      <c r="EH9" s="42" t="n">
        <v>0</v>
      </c>
      <c r="EI9" s="42" t="n">
        <v>4</v>
      </c>
      <c r="EJ9" s="42" t="n">
        <v>4</v>
      </c>
      <c r="EK9" s="42" t="n">
        <v>0</v>
      </c>
      <c r="EL9" s="42" t="n">
        <v>3</v>
      </c>
      <c r="EM9" s="42" t="n">
        <v>0</v>
      </c>
      <c r="EN9" s="42" t="n">
        <v>11</v>
      </c>
      <c r="EO9" s="42" t="n">
        <v>2</v>
      </c>
      <c r="EP9" s="42" t="n">
        <v>1</v>
      </c>
      <c r="EQ9" s="40" t="n">
        <v>44481</v>
      </c>
      <c r="ER9" s="40" t="n">
        <v>44482</v>
      </c>
      <c r="ES9" s="41" t="n">
        <f aca="false">DATEDIF(EQ9,ER9,"D")</f>
        <v>1</v>
      </c>
      <c r="ET9" s="42" t="n">
        <v>1.6</v>
      </c>
      <c r="EU9" s="42" t="n">
        <v>1</v>
      </c>
      <c r="EV9" s="40" t="n">
        <v>44481</v>
      </c>
      <c r="EW9" s="40" t="n">
        <v>44485</v>
      </c>
      <c r="EX9" s="41" t="n">
        <f aca="false">DATEDIF(EV9,EW9,"D")</f>
        <v>4</v>
      </c>
      <c r="EY9" s="42" t="n">
        <v>1</v>
      </c>
      <c r="EZ9" s="49" t="n">
        <v>44482</v>
      </c>
      <c r="FA9" s="49" t="n">
        <v>44483</v>
      </c>
      <c r="FB9" s="42" t="n">
        <v>0</v>
      </c>
      <c r="FC9" s="40" t="s">
        <v>301</v>
      </c>
      <c r="FD9" s="40" t="s">
        <v>301</v>
      </c>
      <c r="FE9" s="42" t="s">
        <v>301</v>
      </c>
      <c r="FF9" s="42" t="n">
        <v>0</v>
      </c>
      <c r="FG9" s="40" t="n">
        <v>44448</v>
      </c>
      <c r="FH9" s="40" t="n">
        <v>44480</v>
      </c>
      <c r="FI9" s="41" t="n">
        <f aca="false">DATEDIF(FG9,FH9,"d")</f>
        <v>32</v>
      </c>
      <c r="FJ9" s="42" t="n">
        <v>21</v>
      </c>
      <c r="FK9" s="42" t="n">
        <v>1</v>
      </c>
      <c r="FL9" s="42" t="n">
        <v>20</v>
      </c>
      <c r="FM9" s="42" t="n">
        <v>8.2</v>
      </c>
      <c r="FN9" s="42" t="n">
        <v>1</v>
      </c>
      <c r="FO9" s="42" t="n">
        <v>21</v>
      </c>
      <c r="FP9" s="42" t="n">
        <v>1</v>
      </c>
      <c r="FQ9" s="42" t="s">
        <v>301</v>
      </c>
      <c r="FR9" s="42" t="n">
        <v>25</v>
      </c>
      <c r="FS9" s="42" t="n">
        <v>0</v>
      </c>
      <c r="FT9" s="48" t="s">
        <v>342</v>
      </c>
      <c r="FU9" s="48" t="s">
        <v>301</v>
      </c>
      <c r="FV9" s="40" t="n">
        <v>44480</v>
      </c>
      <c r="FW9" s="39" t="s">
        <v>310</v>
      </c>
      <c r="FX9" s="42" t="n">
        <v>0</v>
      </c>
      <c r="FY9" s="42" t="s">
        <v>311</v>
      </c>
      <c r="FZ9" s="39" t="s">
        <v>311</v>
      </c>
      <c r="GA9" s="42" t="n">
        <v>0</v>
      </c>
      <c r="GB9" s="48" t="s">
        <v>357</v>
      </c>
      <c r="GC9" s="42" t="n">
        <v>1</v>
      </c>
      <c r="GD9" s="42" t="n">
        <v>0</v>
      </c>
      <c r="GE9" s="42" t="n">
        <v>0</v>
      </c>
      <c r="GF9" s="42" t="n">
        <v>1</v>
      </c>
      <c r="GG9" s="42" t="n">
        <v>1</v>
      </c>
      <c r="GH9" s="42" t="n">
        <v>0</v>
      </c>
      <c r="GI9" s="42" t="n">
        <v>0</v>
      </c>
      <c r="GJ9" s="39" t="s">
        <v>312</v>
      </c>
      <c r="GK9" s="42" t="n">
        <v>0</v>
      </c>
      <c r="GL9" s="42" t="n">
        <v>0</v>
      </c>
      <c r="GM9" s="42" t="n">
        <v>1</v>
      </c>
      <c r="GN9" s="42" t="n">
        <v>0</v>
      </c>
      <c r="GO9" s="42" t="n">
        <v>1</v>
      </c>
      <c r="GP9" s="42" t="n">
        <v>0</v>
      </c>
      <c r="GQ9" s="42" t="n">
        <v>0</v>
      </c>
      <c r="GR9" s="42" t="n">
        <v>0</v>
      </c>
      <c r="GS9" s="42" t="n">
        <v>0</v>
      </c>
      <c r="GT9" s="42" t="n">
        <v>0</v>
      </c>
      <c r="GU9" s="42" t="n">
        <v>1</v>
      </c>
      <c r="GV9" s="42" t="n">
        <v>4</v>
      </c>
      <c r="GW9" s="42" t="n">
        <v>0</v>
      </c>
      <c r="GX9" s="42" t="n">
        <v>1</v>
      </c>
      <c r="GY9" s="42" t="n">
        <v>0</v>
      </c>
      <c r="GZ9" s="42" t="n">
        <v>1</v>
      </c>
      <c r="HA9" s="42" t="n">
        <v>0</v>
      </c>
      <c r="HB9" s="42" t="n">
        <v>1</v>
      </c>
      <c r="HC9" s="42" t="n">
        <v>0</v>
      </c>
      <c r="HD9" s="42" t="n">
        <v>0</v>
      </c>
      <c r="HE9" s="42" t="n">
        <v>0</v>
      </c>
      <c r="HF9" s="42" t="n">
        <v>0</v>
      </c>
      <c r="HG9" s="42" t="n">
        <v>1</v>
      </c>
      <c r="HH9" s="42" t="n">
        <v>1</v>
      </c>
      <c r="HI9" s="42" t="n">
        <v>0</v>
      </c>
      <c r="HJ9" s="42" t="n">
        <v>0</v>
      </c>
      <c r="HK9" s="42" t="n">
        <v>1</v>
      </c>
      <c r="HL9" s="39" t="s">
        <v>301</v>
      </c>
      <c r="HM9" s="39" t="s">
        <v>301</v>
      </c>
      <c r="HN9" s="42" t="n">
        <v>0</v>
      </c>
      <c r="HO9" s="42" t="n">
        <v>0</v>
      </c>
      <c r="HP9" s="42" t="n">
        <v>0</v>
      </c>
      <c r="HQ9" s="42" t="s">
        <v>301</v>
      </c>
      <c r="HR9" s="42" t="n">
        <v>0</v>
      </c>
      <c r="HS9" s="42" t="n">
        <v>1</v>
      </c>
      <c r="HT9" s="42" t="n">
        <v>10</v>
      </c>
      <c r="HU9" s="42" t="n">
        <v>10.3</v>
      </c>
      <c r="HV9" s="42" t="n">
        <v>1</v>
      </c>
      <c r="HW9" s="42"/>
      <c r="HX9" s="42" t="n">
        <v>0</v>
      </c>
      <c r="HY9" s="42" t="n">
        <v>0</v>
      </c>
      <c r="HZ9" s="42" t="n">
        <v>0</v>
      </c>
      <c r="IA9" s="42" t="n">
        <v>0</v>
      </c>
      <c r="IB9" s="39" t="s">
        <v>367</v>
      </c>
      <c r="IC9" s="42" t="n">
        <v>1</v>
      </c>
      <c r="ID9" s="42" t="n">
        <v>0</v>
      </c>
      <c r="IE9" s="42" t="n">
        <v>1</v>
      </c>
      <c r="IF9" s="42" t="n">
        <v>0</v>
      </c>
      <c r="IG9" s="42" t="n">
        <v>0</v>
      </c>
      <c r="IH9" s="42" t="n">
        <v>1</v>
      </c>
      <c r="II9" s="42" t="n">
        <v>0</v>
      </c>
      <c r="IJ9" s="42" t="n">
        <v>1</v>
      </c>
      <c r="IK9" s="42" t="n">
        <v>0</v>
      </c>
      <c r="IL9" s="42" t="n">
        <v>0</v>
      </c>
      <c r="IM9" s="42" t="n">
        <v>1</v>
      </c>
      <c r="IN9" s="42" t="n">
        <v>0</v>
      </c>
      <c r="IO9" s="42" t="n">
        <v>0</v>
      </c>
      <c r="IP9" s="42" t="n">
        <v>1</v>
      </c>
      <c r="IQ9" s="42" t="n">
        <v>0</v>
      </c>
      <c r="IR9" s="42" t="n">
        <v>0</v>
      </c>
      <c r="IS9" s="42" t="n">
        <v>0</v>
      </c>
      <c r="IT9" s="42" t="n">
        <v>1</v>
      </c>
      <c r="IU9" s="42" t="n">
        <v>0</v>
      </c>
      <c r="IV9" s="42" t="s">
        <v>378</v>
      </c>
      <c r="IW9" s="42"/>
      <c r="IX9" s="42" t="s">
        <v>347</v>
      </c>
      <c r="IY9" s="42" t="n">
        <v>0</v>
      </c>
      <c r="IZ9" s="42" t="s">
        <v>301</v>
      </c>
      <c r="JA9" s="42" t="n">
        <v>0</v>
      </c>
      <c r="JB9" s="39" t="s">
        <v>398</v>
      </c>
      <c r="JC9" s="42" t="n">
        <v>0</v>
      </c>
      <c r="JD9" s="42" t="n">
        <v>0</v>
      </c>
      <c r="JE9" s="42" t="n">
        <v>0</v>
      </c>
      <c r="JF9" s="42" t="n">
        <v>1</v>
      </c>
      <c r="JG9" s="42" t="n">
        <v>1</v>
      </c>
      <c r="JH9" s="42" t="n">
        <v>0</v>
      </c>
      <c r="JI9" s="42" t="n">
        <v>0</v>
      </c>
      <c r="JJ9" s="42" t="n">
        <v>0</v>
      </c>
      <c r="JK9" s="42" t="n">
        <v>1</v>
      </c>
      <c r="JL9" s="42" t="s">
        <v>399</v>
      </c>
      <c r="JM9" s="42" t="n">
        <v>0</v>
      </c>
      <c r="JN9" s="42" t="n">
        <v>0</v>
      </c>
      <c r="JO9" s="42" t="n">
        <v>1</v>
      </c>
      <c r="JP9" s="42" t="n">
        <v>0</v>
      </c>
      <c r="JQ9" s="42" t="n">
        <v>0</v>
      </c>
      <c r="JR9" s="42" t="n">
        <v>0</v>
      </c>
      <c r="JS9" s="42" t="n">
        <v>0</v>
      </c>
      <c r="JT9" s="42" t="n">
        <v>0</v>
      </c>
      <c r="JU9" s="42" t="n">
        <v>0</v>
      </c>
      <c r="JV9" s="42" t="n">
        <v>0</v>
      </c>
      <c r="JW9" s="42" t="n">
        <v>0</v>
      </c>
      <c r="JX9" s="42" t="n">
        <v>0</v>
      </c>
      <c r="JY9" s="42" t="n">
        <v>0</v>
      </c>
      <c r="JZ9" s="42" t="n">
        <v>0</v>
      </c>
      <c r="KA9" s="47" t="n">
        <v>3</v>
      </c>
      <c r="KB9" s="42" t="n">
        <v>1</v>
      </c>
      <c r="KC9" s="42" t="n">
        <v>0</v>
      </c>
      <c r="KD9" s="42" t="n">
        <v>0</v>
      </c>
      <c r="KE9" s="42" t="n">
        <v>1</v>
      </c>
      <c r="KF9" s="40" t="n">
        <v>44698</v>
      </c>
      <c r="KG9" s="42" t="n">
        <v>1</v>
      </c>
      <c r="KH9" s="42" t="n">
        <v>1</v>
      </c>
      <c r="KI9" s="42" t="n">
        <v>0</v>
      </c>
      <c r="KJ9" s="42" t="n">
        <v>0</v>
      </c>
      <c r="KK9" s="42" t="n">
        <v>0</v>
      </c>
      <c r="KL9" s="39" t="s">
        <v>400</v>
      </c>
    </row>
    <row r="10" customFormat="false" ht="15.75" hidden="false" customHeight="true" outlineLevel="0" collapsed="false">
      <c r="A10" s="39" t="s">
        <v>401</v>
      </c>
      <c r="B10" s="39" t="s">
        <v>299</v>
      </c>
      <c r="C10" s="40" t="n">
        <v>35284</v>
      </c>
      <c r="D10" s="41" t="n">
        <f aca="false">DATEDIF(C10,E10,"y")</f>
        <v>25</v>
      </c>
      <c r="E10" s="40" t="n">
        <v>44670</v>
      </c>
      <c r="F10" s="39" t="s">
        <v>336</v>
      </c>
      <c r="G10" s="42" t="n">
        <v>1</v>
      </c>
      <c r="H10" s="39" t="s">
        <v>373</v>
      </c>
      <c r="I10" s="42" t="n">
        <v>0</v>
      </c>
      <c r="J10" s="39" t="s">
        <v>302</v>
      </c>
      <c r="K10" s="42" t="n">
        <v>62</v>
      </c>
      <c r="L10" s="42" t="n">
        <v>170</v>
      </c>
      <c r="M10" s="42" t="n">
        <f aca="false">K10/(L10/100)^2</f>
        <v>21.4532871972318</v>
      </c>
      <c r="N10" s="42" t="n">
        <v>0</v>
      </c>
      <c r="O10" s="40" t="n">
        <v>44657</v>
      </c>
      <c r="P10" s="40" t="n">
        <v>44657</v>
      </c>
      <c r="Q10" s="40" t="n">
        <v>44670</v>
      </c>
      <c r="R10" s="40" t="n">
        <v>44670</v>
      </c>
      <c r="S10" s="42" t="n">
        <v>1</v>
      </c>
      <c r="T10" s="42" t="n">
        <v>1</v>
      </c>
      <c r="U10" s="40" t="n">
        <v>44670</v>
      </c>
      <c r="V10" s="42" t="s">
        <v>402</v>
      </c>
      <c r="W10" s="40"/>
      <c r="X10" s="42" t="n">
        <v>0</v>
      </c>
      <c r="Y10" s="42" t="s">
        <v>320</v>
      </c>
      <c r="Z10" s="42" t="n">
        <v>2</v>
      </c>
      <c r="AA10" s="42" t="n">
        <v>1</v>
      </c>
      <c r="AB10" s="42" t="s">
        <v>403</v>
      </c>
      <c r="AC10" s="42" t="n">
        <v>1</v>
      </c>
      <c r="AD10" s="42" t="s">
        <v>306</v>
      </c>
      <c r="AE10" s="42" t="n">
        <v>0</v>
      </c>
      <c r="AF10" s="42" t="s">
        <v>301</v>
      </c>
      <c r="AG10" s="41" t="n">
        <v>0</v>
      </c>
      <c r="AH10" s="42" t="s">
        <v>301</v>
      </c>
      <c r="AI10" s="41" t="n">
        <v>0</v>
      </c>
      <c r="AJ10" s="42" t="s">
        <v>301</v>
      </c>
      <c r="AK10" s="41" t="n">
        <v>0</v>
      </c>
      <c r="AL10" s="42" t="s">
        <v>301</v>
      </c>
      <c r="AM10" s="42" t="n">
        <v>1</v>
      </c>
      <c r="AN10" s="40" t="n">
        <v>44668</v>
      </c>
      <c r="AO10" s="42" t="s">
        <v>306</v>
      </c>
      <c r="AP10" s="42" t="s">
        <v>307</v>
      </c>
      <c r="AQ10" s="42" t="n">
        <v>1</v>
      </c>
      <c r="AR10" s="42" t="n">
        <v>1</v>
      </c>
      <c r="AS10" s="40" t="n">
        <v>44658</v>
      </c>
      <c r="AT10" s="40" t="n">
        <v>44658</v>
      </c>
      <c r="AU10" s="42" t="n">
        <v>0</v>
      </c>
      <c r="AV10" s="41" t="s">
        <v>301</v>
      </c>
      <c r="AW10" s="41" t="s">
        <v>301</v>
      </c>
      <c r="AX10" s="42" t="n">
        <v>1</v>
      </c>
      <c r="AY10" s="40" t="n">
        <v>44659</v>
      </c>
      <c r="AZ10" s="40" t="n">
        <v>44668</v>
      </c>
      <c r="BA10" s="42" t="n">
        <v>0</v>
      </c>
      <c r="BB10" s="40" t="s">
        <v>301</v>
      </c>
      <c r="BC10" s="40" t="s">
        <v>301</v>
      </c>
      <c r="BD10" s="42" t="n">
        <v>0</v>
      </c>
      <c r="BE10" s="41" t="s">
        <v>301</v>
      </c>
      <c r="BF10" s="41" t="s">
        <v>301</v>
      </c>
      <c r="BG10" s="42" t="n">
        <v>0</v>
      </c>
      <c r="BH10" s="41" t="s">
        <v>301</v>
      </c>
      <c r="BI10" s="42" t="s">
        <v>301</v>
      </c>
      <c r="BJ10" s="42" t="n">
        <v>0</v>
      </c>
      <c r="BK10" s="39" t="s">
        <v>301</v>
      </c>
      <c r="BL10" s="39" t="s">
        <v>301</v>
      </c>
      <c r="BM10" s="42" t="n">
        <v>0</v>
      </c>
      <c r="BN10" s="41" t="s">
        <v>301</v>
      </c>
      <c r="BO10" s="41" t="s">
        <v>301</v>
      </c>
      <c r="BP10" s="42" t="n">
        <v>1</v>
      </c>
      <c r="BQ10" s="40" t="n">
        <v>44661</v>
      </c>
      <c r="BR10" s="40" t="n">
        <v>44664</v>
      </c>
      <c r="BS10" s="42" t="n">
        <v>0</v>
      </c>
      <c r="BT10" s="40" t="s">
        <v>301</v>
      </c>
      <c r="BU10" s="41" t="s">
        <v>301</v>
      </c>
      <c r="BV10" s="42" t="n">
        <v>0</v>
      </c>
      <c r="BW10" s="40" t="s">
        <v>301</v>
      </c>
      <c r="BX10" s="40" t="s">
        <v>301</v>
      </c>
      <c r="BY10" s="42" t="n">
        <v>0</v>
      </c>
      <c r="BZ10" s="40" t="s">
        <v>301</v>
      </c>
      <c r="CA10" s="40" t="s">
        <v>301</v>
      </c>
      <c r="CB10" s="42" t="n">
        <v>0</v>
      </c>
      <c r="CC10" s="40"/>
      <c r="CD10" s="40"/>
      <c r="CE10" s="42" t="n">
        <v>0</v>
      </c>
      <c r="CF10" s="42" t="s">
        <v>301</v>
      </c>
      <c r="CG10" s="42" t="s">
        <v>301</v>
      </c>
      <c r="CH10" s="42" t="n">
        <v>0</v>
      </c>
      <c r="CI10" s="41" t="s">
        <v>301</v>
      </c>
      <c r="CJ10" s="41" t="s">
        <v>301</v>
      </c>
      <c r="CK10" s="42" t="n">
        <v>0</v>
      </c>
      <c r="CL10" s="40" t="s">
        <v>301</v>
      </c>
      <c r="CM10" s="40" t="s">
        <v>301</v>
      </c>
      <c r="CN10" s="42" t="n">
        <v>0</v>
      </c>
      <c r="CO10" s="41" t="s">
        <v>301</v>
      </c>
      <c r="CP10" s="41" t="s">
        <v>301</v>
      </c>
      <c r="CQ10" s="42" t="n">
        <v>0</v>
      </c>
      <c r="CR10" s="40" t="s">
        <v>301</v>
      </c>
      <c r="CS10" s="40" t="s">
        <v>301</v>
      </c>
      <c r="CT10" s="42" t="n">
        <v>0</v>
      </c>
      <c r="CU10" s="43" t="s">
        <v>301</v>
      </c>
      <c r="CV10" s="43" t="s">
        <v>301</v>
      </c>
      <c r="CW10" s="42" t="n">
        <v>0</v>
      </c>
      <c r="CX10" s="42" t="n">
        <v>0</v>
      </c>
      <c r="CY10" s="42" t="n">
        <v>0</v>
      </c>
      <c r="CZ10" s="43" t="s">
        <v>301</v>
      </c>
      <c r="DA10" s="43" t="s">
        <v>301</v>
      </c>
      <c r="DB10" s="42" t="n">
        <v>0</v>
      </c>
      <c r="DC10" s="40" t="s">
        <v>301</v>
      </c>
      <c r="DD10" s="42" t="n">
        <v>0</v>
      </c>
      <c r="DE10" s="42" t="n">
        <v>0</v>
      </c>
      <c r="DF10" s="40" t="s">
        <v>301</v>
      </c>
      <c r="DG10" s="42" t="n">
        <v>0</v>
      </c>
      <c r="DH10" s="42" t="n">
        <v>0</v>
      </c>
      <c r="DI10" s="42" t="n">
        <v>0</v>
      </c>
      <c r="DJ10" s="42" t="n">
        <v>0</v>
      </c>
      <c r="DK10" s="42" t="n">
        <v>0</v>
      </c>
      <c r="DL10" s="42" t="n">
        <v>0</v>
      </c>
      <c r="DM10" s="42" t="n">
        <v>0</v>
      </c>
      <c r="DN10" s="42" t="n">
        <v>0</v>
      </c>
      <c r="DO10" s="42" t="n">
        <v>0</v>
      </c>
      <c r="DP10" s="42" t="n">
        <v>0</v>
      </c>
      <c r="DQ10" s="42" t="n">
        <v>0</v>
      </c>
      <c r="DR10" s="42" t="n">
        <v>0</v>
      </c>
      <c r="DS10" s="42" t="n">
        <v>0</v>
      </c>
      <c r="DT10" s="42" t="n">
        <v>0</v>
      </c>
      <c r="DU10" s="42" t="n">
        <v>2</v>
      </c>
      <c r="DV10" s="42" t="n">
        <v>0</v>
      </c>
      <c r="DW10" s="42" t="n">
        <v>0</v>
      </c>
      <c r="DX10" s="42" t="n">
        <v>0</v>
      </c>
      <c r="DY10" s="42" t="n">
        <v>0</v>
      </c>
      <c r="DZ10" s="41" t="n">
        <v>2</v>
      </c>
      <c r="EA10" s="42" t="n">
        <v>1</v>
      </c>
      <c r="EB10" s="42" t="n">
        <v>1</v>
      </c>
      <c r="EC10" s="42" t="n">
        <v>0</v>
      </c>
      <c r="ED10" s="42" t="n">
        <v>1</v>
      </c>
      <c r="EE10" s="42" t="n">
        <v>0</v>
      </c>
      <c r="EF10" s="42" t="n">
        <v>1</v>
      </c>
      <c r="EG10" s="42" t="n">
        <v>1</v>
      </c>
      <c r="EH10" s="42" t="n">
        <v>4</v>
      </c>
      <c r="EI10" s="42" t="n">
        <v>4</v>
      </c>
      <c r="EJ10" s="42" t="n">
        <v>4</v>
      </c>
      <c r="EK10" s="42" t="n">
        <v>0</v>
      </c>
      <c r="EL10" s="42" t="n">
        <v>3</v>
      </c>
      <c r="EM10" s="42" t="n">
        <v>4</v>
      </c>
      <c r="EN10" s="42" t="n">
        <v>19</v>
      </c>
      <c r="EO10" s="42" t="n">
        <v>2</v>
      </c>
      <c r="EP10" s="42" t="n">
        <v>1</v>
      </c>
      <c r="EQ10" s="40" t="n">
        <v>44661</v>
      </c>
      <c r="ER10" s="40" t="n">
        <v>44670</v>
      </c>
      <c r="ES10" s="41" t="n">
        <f aca="false">DATEDIF(EQ10,ER10,"D")</f>
        <v>9</v>
      </c>
      <c r="ET10" s="42" t="n">
        <v>3.2</v>
      </c>
      <c r="EU10" s="42" t="n">
        <v>1</v>
      </c>
      <c r="EV10" s="40" t="n">
        <v>44668</v>
      </c>
      <c r="EW10" s="40" t="n">
        <v>44670</v>
      </c>
      <c r="EX10" s="41" t="n">
        <f aca="false">DATEDIF(EV10,EW10,"D")</f>
        <v>2</v>
      </c>
      <c r="EY10" s="42" t="n">
        <v>1</v>
      </c>
      <c r="EZ10" s="40" t="n">
        <v>44662</v>
      </c>
      <c r="FA10" s="40" t="n">
        <v>44662</v>
      </c>
      <c r="FB10" s="42" t="n">
        <v>0</v>
      </c>
      <c r="FC10" s="40" t="s">
        <v>301</v>
      </c>
      <c r="FD10" s="40" t="s">
        <v>301</v>
      </c>
      <c r="FE10" s="42" t="s">
        <v>301</v>
      </c>
      <c r="FF10" s="42" t="n">
        <v>1</v>
      </c>
      <c r="FG10" s="40" t="n">
        <v>44665</v>
      </c>
      <c r="FH10" s="40" t="n">
        <v>44670</v>
      </c>
      <c r="FI10" s="41" t="n">
        <f aca="false">DATEDIF(FG10,FH10,"d")</f>
        <v>5</v>
      </c>
      <c r="FJ10" s="42" t="n">
        <v>6</v>
      </c>
      <c r="FK10" s="42" t="n">
        <v>0</v>
      </c>
      <c r="FL10" s="42" t="n">
        <v>0.2</v>
      </c>
      <c r="FM10" s="42" t="n">
        <v>10.6</v>
      </c>
      <c r="FN10" s="42" t="n">
        <v>0</v>
      </c>
      <c r="FO10" s="42" t="n">
        <v>23</v>
      </c>
      <c r="FP10" s="42" t="n">
        <v>1</v>
      </c>
      <c r="FQ10" s="42" t="s">
        <v>301</v>
      </c>
      <c r="FR10" s="42" t="n">
        <v>20</v>
      </c>
      <c r="FS10" s="42" t="n">
        <v>0</v>
      </c>
      <c r="FT10" s="48" t="s">
        <v>342</v>
      </c>
      <c r="FU10" s="48" t="s">
        <v>301</v>
      </c>
      <c r="FV10" s="40" t="n">
        <v>44657</v>
      </c>
      <c r="FW10" s="39" t="s">
        <v>404</v>
      </c>
      <c r="FX10" s="42" t="n">
        <v>1</v>
      </c>
      <c r="FY10" s="42" t="s">
        <v>377</v>
      </c>
      <c r="FZ10" s="39" t="s">
        <v>311</v>
      </c>
      <c r="GA10" s="42" t="n">
        <v>0</v>
      </c>
      <c r="GB10" s="48" t="s">
        <v>301</v>
      </c>
      <c r="GC10" s="42" t="n">
        <v>1</v>
      </c>
      <c r="GD10" s="42" t="n">
        <v>1</v>
      </c>
      <c r="GE10" s="42" t="n">
        <v>1</v>
      </c>
      <c r="GF10" s="42" t="n">
        <v>1</v>
      </c>
      <c r="GG10" s="42" t="n">
        <v>1</v>
      </c>
      <c r="GH10" s="42" t="n">
        <v>1</v>
      </c>
      <c r="GI10" s="42" t="n">
        <v>1</v>
      </c>
      <c r="GJ10" s="39" t="s">
        <v>312</v>
      </c>
      <c r="GK10" s="42" t="n">
        <v>0</v>
      </c>
      <c r="GL10" s="42" t="n">
        <v>0</v>
      </c>
      <c r="GM10" s="42" t="n">
        <v>1</v>
      </c>
      <c r="GN10" s="42" t="n">
        <v>0</v>
      </c>
      <c r="GO10" s="42" t="n">
        <v>1</v>
      </c>
      <c r="GP10" s="42" t="n">
        <v>0</v>
      </c>
      <c r="GQ10" s="42" t="n">
        <v>0</v>
      </c>
      <c r="GR10" s="42" t="n">
        <v>0</v>
      </c>
      <c r="GS10" s="42" t="n">
        <v>1</v>
      </c>
      <c r="GT10" s="42" t="n">
        <v>0</v>
      </c>
      <c r="GU10" s="42" t="n">
        <v>1</v>
      </c>
      <c r="GV10" s="42" t="n">
        <v>13</v>
      </c>
      <c r="GW10" s="42" t="n">
        <v>0</v>
      </c>
      <c r="GX10" s="42" t="n">
        <v>1</v>
      </c>
      <c r="GY10" s="42" t="n">
        <v>0</v>
      </c>
      <c r="GZ10" s="42" t="n">
        <v>1</v>
      </c>
      <c r="HA10" s="42" t="n">
        <v>0</v>
      </c>
      <c r="HB10" s="42" t="n">
        <v>1</v>
      </c>
      <c r="HC10" s="42" t="n">
        <v>0</v>
      </c>
      <c r="HD10" s="42" t="n">
        <v>0</v>
      </c>
      <c r="HE10" s="42" t="n">
        <v>0</v>
      </c>
      <c r="HF10" s="42" t="n">
        <v>0</v>
      </c>
      <c r="HG10" s="42" t="n">
        <v>0</v>
      </c>
      <c r="HH10" s="42" t="n">
        <v>1</v>
      </c>
      <c r="HI10" s="42" t="n">
        <v>1</v>
      </c>
      <c r="HJ10" s="42" t="n">
        <v>0</v>
      </c>
      <c r="HK10" s="42" t="n">
        <v>1</v>
      </c>
      <c r="HL10" s="39" t="s">
        <v>405</v>
      </c>
      <c r="HM10" s="39"/>
      <c r="HN10" s="42" t="n">
        <v>0</v>
      </c>
      <c r="HO10" s="42" t="n">
        <v>0</v>
      </c>
      <c r="HP10" s="42" t="n">
        <v>1</v>
      </c>
      <c r="HQ10" s="42" t="s">
        <v>406</v>
      </c>
      <c r="HR10" s="42" t="n">
        <v>1</v>
      </c>
      <c r="HS10" s="42" t="n">
        <v>1</v>
      </c>
      <c r="HT10" s="42" t="n">
        <v>3</v>
      </c>
      <c r="HU10" s="42" t="n">
        <v>10</v>
      </c>
      <c r="HV10" s="42" t="n">
        <v>1</v>
      </c>
      <c r="HW10" s="42" t="n">
        <v>3</v>
      </c>
      <c r="HX10" s="42" t="n">
        <v>1</v>
      </c>
      <c r="HY10" s="42" t="n">
        <v>3</v>
      </c>
      <c r="HZ10" s="42" t="n">
        <v>1</v>
      </c>
      <c r="IA10" s="42" t="n">
        <v>1</v>
      </c>
      <c r="IB10" s="39" t="s">
        <v>367</v>
      </c>
      <c r="IC10" s="42" t="n">
        <v>0</v>
      </c>
      <c r="ID10" s="42" t="n">
        <v>0</v>
      </c>
      <c r="IE10" s="42" t="n">
        <v>1</v>
      </c>
      <c r="IF10" s="42" t="n">
        <v>0</v>
      </c>
      <c r="IG10" s="42" t="n">
        <v>0</v>
      </c>
      <c r="IH10" s="42" t="n">
        <v>1</v>
      </c>
      <c r="II10" s="42" t="n">
        <v>0</v>
      </c>
      <c r="IJ10" s="42" t="n">
        <v>0</v>
      </c>
      <c r="IK10" s="42" t="n">
        <v>0</v>
      </c>
      <c r="IL10" s="42" t="n">
        <v>0</v>
      </c>
      <c r="IM10" s="42" t="n">
        <v>1</v>
      </c>
      <c r="IN10" s="42" t="n">
        <v>1</v>
      </c>
      <c r="IO10" s="42" t="n">
        <v>1</v>
      </c>
      <c r="IP10" s="42" t="n">
        <v>1</v>
      </c>
      <c r="IQ10" s="42" t="n">
        <v>0</v>
      </c>
      <c r="IR10" s="42" t="n">
        <v>1</v>
      </c>
      <c r="IS10" s="42" t="n">
        <v>0</v>
      </c>
      <c r="IT10" s="42" t="n">
        <v>1</v>
      </c>
      <c r="IU10" s="42" t="n">
        <v>0</v>
      </c>
      <c r="IV10" s="42" t="s">
        <v>407</v>
      </c>
      <c r="IW10" s="42"/>
      <c r="IX10" s="42" t="s">
        <v>347</v>
      </c>
      <c r="IY10" s="42" t="n">
        <v>1</v>
      </c>
      <c r="IZ10" s="42" t="s">
        <v>347</v>
      </c>
      <c r="JA10" s="42" t="n">
        <v>0</v>
      </c>
      <c r="JB10" s="39" t="s">
        <v>332</v>
      </c>
      <c r="JC10" s="42" t="n">
        <v>0</v>
      </c>
      <c r="JD10" s="42" t="n">
        <v>0</v>
      </c>
      <c r="JE10" s="42" t="n">
        <v>0</v>
      </c>
      <c r="JF10" s="42" t="n">
        <v>0</v>
      </c>
      <c r="JG10" s="42" t="n">
        <v>0</v>
      </c>
      <c r="JH10" s="42" t="n">
        <v>0</v>
      </c>
      <c r="JI10" s="42" t="n">
        <v>0</v>
      </c>
      <c r="JJ10" s="42" t="n">
        <v>0</v>
      </c>
      <c r="JK10" s="42" t="n">
        <v>0</v>
      </c>
      <c r="JL10" s="42" t="s">
        <v>301</v>
      </c>
      <c r="JM10" s="42" t="n">
        <v>0</v>
      </c>
      <c r="JN10" s="42" t="n">
        <v>0</v>
      </c>
      <c r="JO10" s="42" t="n">
        <v>0</v>
      </c>
      <c r="JP10" s="42" t="n">
        <v>0</v>
      </c>
      <c r="JQ10" s="42" t="n">
        <v>0</v>
      </c>
      <c r="JR10" s="42" t="n">
        <v>0</v>
      </c>
      <c r="JS10" s="42" t="n">
        <v>0</v>
      </c>
      <c r="JT10" s="42" t="n">
        <v>0</v>
      </c>
      <c r="JU10" s="42" t="n">
        <v>0</v>
      </c>
      <c r="JV10" s="42" t="n">
        <v>0</v>
      </c>
      <c r="JW10" s="42" t="n">
        <v>0</v>
      </c>
      <c r="JX10" s="42" t="n">
        <v>0</v>
      </c>
      <c r="JY10" s="42" t="n">
        <v>0</v>
      </c>
      <c r="JZ10" s="42" t="n">
        <v>0</v>
      </c>
      <c r="KA10" s="47" t="n">
        <v>5</v>
      </c>
      <c r="KB10" s="42" t="n">
        <v>1</v>
      </c>
      <c r="KC10" s="42" t="s">
        <v>301</v>
      </c>
      <c r="KD10" s="42" t="s">
        <v>301</v>
      </c>
      <c r="KE10" s="42" t="s">
        <v>301</v>
      </c>
      <c r="KF10" s="40" t="s">
        <v>301</v>
      </c>
      <c r="KG10" s="42" t="s">
        <v>301</v>
      </c>
      <c r="KH10" s="42" t="s">
        <v>301</v>
      </c>
      <c r="KI10" s="42" t="s">
        <v>301</v>
      </c>
      <c r="KJ10" s="42" t="s">
        <v>301</v>
      </c>
      <c r="KK10" s="42" t="s">
        <v>301</v>
      </c>
      <c r="KL10" s="39" t="s">
        <v>408</v>
      </c>
    </row>
    <row r="11" customFormat="false" ht="15.75" hidden="false" customHeight="true" outlineLevel="0" collapsed="false">
      <c r="A11" s="39" t="s">
        <v>409</v>
      </c>
      <c r="B11" s="39" t="s">
        <v>299</v>
      </c>
      <c r="C11" s="40" t="n">
        <v>23094</v>
      </c>
      <c r="D11" s="41" t="n">
        <f aca="false">DATEDIF(C11,E11,"y")</f>
        <v>59</v>
      </c>
      <c r="E11" s="40" t="n">
        <v>44868</v>
      </c>
      <c r="F11" s="39" t="s">
        <v>336</v>
      </c>
      <c r="G11" s="42" t="n">
        <v>1</v>
      </c>
      <c r="H11" s="39" t="s">
        <v>373</v>
      </c>
      <c r="I11" s="42" t="n">
        <v>1</v>
      </c>
      <c r="J11" s="39" t="s">
        <v>351</v>
      </c>
      <c r="K11" s="42" t="n">
        <v>71</v>
      </c>
      <c r="L11" s="42" t="n">
        <v>176</v>
      </c>
      <c r="M11" s="42" t="n">
        <f aca="false">K11/(L11/100)^2</f>
        <v>22.9209710743802</v>
      </c>
      <c r="N11" s="42" t="n">
        <v>3</v>
      </c>
      <c r="O11" s="40" t="n">
        <v>44843</v>
      </c>
      <c r="P11" s="40" t="n">
        <v>44868</v>
      </c>
      <c r="Q11" s="40" t="n">
        <v>44907</v>
      </c>
      <c r="R11" s="40" t="n">
        <v>44917</v>
      </c>
      <c r="S11" s="42" t="n">
        <v>0</v>
      </c>
      <c r="T11" s="42" t="n">
        <v>0</v>
      </c>
      <c r="U11" s="40" t="s">
        <v>301</v>
      </c>
      <c r="V11" s="42" t="s">
        <v>410</v>
      </c>
      <c r="W11" s="40" t="n">
        <v>44843</v>
      </c>
      <c r="X11" s="42" t="n">
        <v>1</v>
      </c>
      <c r="Y11" s="42" t="s">
        <v>374</v>
      </c>
      <c r="Z11" s="42" t="n">
        <v>1</v>
      </c>
      <c r="AA11" s="42" t="n">
        <v>1</v>
      </c>
      <c r="AB11" s="42" t="s">
        <v>375</v>
      </c>
      <c r="AC11" s="42" t="n">
        <v>0</v>
      </c>
      <c r="AD11" s="42"/>
      <c r="AE11" s="42" t="n">
        <v>0</v>
      </c>
      <c r="AF11" s="42" t="s">
        <v>301</v>
      </c>
      <c r="AG11" s="41" t="n">
        <v>0</v>
      </c>
      <c r="AH11" s="42" t="s">
        <v>301</v>
      </c>
      <c r="AI11" s="41" t="n">
        <v>0</v>
      </c>
      <c r="AJ11" s="42" t="s">
        <v>301</v>
      </c>
      <c r="AK11" s="41" t="n">
        <v>0</v>
      </c>
      <c r="AL11" s="42" t="s">
        <v>301</v>
      </c>
      <c r="AM11" s="42" t="n">
        <v>0</v>
      </c>
      <c r="AN11" s="40" t="n">
        <v>44862</v>
      </c>
      <c r="AO11" s="42" t="s">
        <v>375</v>
      </c>
      <c r="AP11" s="42" t="s">
        <v>307</v>
      </c>
      <c r="AQ11" s="42" t="n">
        <v>0</v>
      </c>
      <c r="AR11" s="42" t="n">
        <v>0</v>
      </c>
      <c r="AS11" s="40" t="s">
        <v>301</v>
      </c>
      <c r="AT11" s="40" t="s">
        <v>301</v>
      </c>
      <c r="AU11" s="42" t="n">
        <v>0</v>
      </c>
      <c r="AV11" s="41" t="s">
        <v>301</v>
      </c>
      <c r="AW11" s="41" t="s">
        <v>301</v>
      </c>
      <c r="AX11" s="42" t="n">
        <v>1</v>
      </c>
      <c r="AY11" s="40" t="n">
        <v>44855</v>
      </c>
      <c r="AZ11" s="40" t="n">
        <v>44862</v>
      </c>
      <c r="BA11" s="42" t="n">
        <v>0</v>
      </c>
      <c r="BB11" s="40" t="s">
        <v>301</v>
      </c>
      <c r="BC11" s="40" t="s">
        <v>301</v>
      </c>
      <c r="BD11" s="42" t="n">
        <v>0</v>
      </c>
      <c r="BE11" s="41" t="s">
        <v>301</v>
      </c>
      <c r="BF11" s="41" t="s">
        <v>301</v>
      </c>
      <c r="BG11" s="42" t="n">
        <v>0</v>
      </c>
      <c r="BH11" s="41" t="s">
        <v>301</v>
      </c>
      <c r="BI11" s="42" t="s">
        <v>301</v>
      </c>
      <c r="BJ11" s="42" t="n">
        <v>0</v>
      </c>
      <c r="BK11" s="39" t="s">
        <v>301</v>
      </c>
      <c r="BL11" s="39" t="s">
        <v>301</v>
      </c>
      <c r="BM11" s="42" t="n">
        <v>0</v>
      </c>
      <c r="BN11" s="41" t="s">
        <v>301</v>
      </c>
      <c r="BO11" s="41" t="s">
        <v>301</v>
      </c>
      <c r="BP11" s="42" t="n">
        <v>1</v>
      </c>
      <c r="BQ11" s="40" t="n">
        <v>44855</v>
      </c>
      <c r="BR11" s="40" t="n">
        <v>44858</v>
      </c>
      <c r="BS11" s="42" t="n">
        <v>0</v>
      </c>
      <c r="BT11" s="40" t="s">
        <v>301</v>
      </c>
      <c r="BU11" s="41" t="s">
        <v>301</v>
      </c>
      <c r="BV11" s="42" t="n">
        <v>0</v>
      </c>
      <c r="BW11" s="40" t="s">
        <v>301</v>
      </c>
      <c r="BX11" s="40" t="s">
        <v>301</v>
      </c>
      <c r="BY11" s="42" t="n">
        <v>0</v>
      </c>
      <c r="BZ11" s="40" t="s">
        <v>301</v>
      </c>
      <c r="CA11" s="40" t="s">
        <v>301</v>
      </c>
      <c r="CB11" s="42" t="n">
        <v>0</v>
      </c>
      <c r="CC11" s="40"/>
      <c r="CD11" s="40"/>
      <c r="CE11" s="42" t="n">
        <v>0</v>
      </c>
      <c r="CF11" s="42" t="s">
        <v>301</v>
      </c>
      <c r="CG11" s="42" t="s">
        <v>301</v>
      </c>
      <c r="CH11" s="42" t="n">
        <v>0</v>
      </c>
      <c r="CI11" s="41" t="s">
        <v>301</v>
      </c>
      <c r="CJ11" s="41" t="s">
        <v>301</v>
      </c>
      <c r="CK11" s="42" t="n">
        <v>0</v>
      </c>
      <c r="CL11" s="40" t="s">
        <v>301</v>
      </c>
      <c r="CM11" s="40" t="s">
        <v>301</v>
      </c>
      <c r="CN11" s="42" t="n">
        <v>0</v>
      </c>
      <c r="CO11" s="41" t="s">
        <v>301</v>
      </c>
      <c r="CP11" s="41" t="s">
        <v>301</v>
      </c>
      <c r="CQ11" s="42" t="n">
        <v>0</v>
      </c>
      <c r="CR11" s="40" t="s">
        <v>301</v>
      </c>
      <c r="CS11" s="40" t="s">
        <v>301</v>
      </c>
      <c r="CT11" s="42" t="n">
        <v>1</v>
      </c>
      <c r="CU11" s="40" t="n">
        <v>44855</v>
      </c>
      <c r="CV11" s="40" t="n">
        <v>44855</v>
      </c>
      <c r="CW11" s="42" t="n">
        <v>0</v>
      </c>
      <c r="CX11" s="42" t="n">
        <v>0</v>
      </c>
      <c r="CY11" s="42" t="n">
        <v>0</v>
      </c>
      <c r="CZ11" s="43" t="s">
        <v>301</v>
      </c>
      <c r="DA11" s="43" t="s">
        <v>301</v>
      </c>
      <c r="DB11" s="42" t="n">
        <v>0</v>
      </c>
      <c r="DC11" s="40" t="s">
        <v>301</v>
      </c>
      <c r="DD11" s="42" t="n">
        <v>0</v>
      </c>
      <c r="DE11" s="42" t="n">
        <v>0</v>
      </c>
      <c r="DF11" s="40" t="s">
        <v>301</v>
      </c>
      <c r="DG11" s="42" t="n">
        <v>1</v>
      </c>
      <c r="DH11" s="42" t="n">
        <v>0</v>
      </c>
      <c r="DI11" s="42" t="n">
        <v>0</v>
      </c>
      <c r="DJ11" s="42" t="n">
        <v>0</v>
      </c>
      <c r="DK11" s="42" t="n">
        <v>0</v>
      </c>
      <c r="DL11" s="42" t="n">
        <v>0</v>
      </c>
      <c r="DM11" s="42" t="n">
        <v>0</v>
      </c>
      <c r="DN11" s="42" t="n">
        <v>0</v>
      </c>
      <c r="DO11" s="42" t="n">
        <v>0</v>
      </c>
      <c r="DP11" s="42" t="n">
        <v>1</v>
      </c>
      <c r="DQ11" s="42" t="n">
        <v>0</v>
      </c>
      <c r="DR11" s="42" t="n">
        <v>0</v>
      </c>
      <c r="DS11" s="42" t="n">
        <v>0</v>
      </c>
      <c r="DT11" s="42" t="n">
        <v>0</v>
      </c>
      <c r="DU11" s="42" t="n">
        <v>2</v>
      </c>
      <c r="DV11" s="42" t="n">
        <v>0</v>
      </c>
      <c r="DW11" s="42" t="n">
        <v>0</v>
      </c>
      <c r="DX11" s="42" t="n">
        <v>0</v>
      </c>
      <c r="DY11" s="42" t="n">
        <v>0</v>
      </c>
      <c r="DZ11" s="41" t="n">
        <v>4</v>
      </c>
      <c r="EA11" s="42" t="n">
        <v>1</v>
      </c>
      <c r="EB11" s="42" t="n">
        <v>0</v>
      </c>
      <c r="EC11" s="42" t="n">
        <v>1</v>
      </c>
      <c r="ED11" s="42" t="n">
        <v>1</v>
      </c>
      <c r="EE11" s="42" t="n">
        <v>1</v>
      </c>
      <c r="EF11" s="42" t="n">
        <v>0</v>
      </c>
      <c r="EG11" s="42" t="n">
        <v>1</v>
      </c>
      <c r="EH11" s="42" t="n">
        <v>1</v>
      </c>
      <c r="EI11" s="42" t="n">
        <v>4</v>
      </c>
      <c r="EJ11" s="42" t="n">
        <v>4</v>
      </c>
      <c r="EK11" s="42" t="n">
        <v>1</v>
      </c>
      <c r="EL11" s="42" t="n">
        <v>1</v>
      </c>
      <c r="EM11" s="42" t="n">
        <v>0</v>
      </c>
      <c r="EN11" s="42" t="n">
        <v>11</v>
      </c>
      <c r="EO11" s="42" t="n">
        <v>2</v>
      </c>
      <c r="EP11" s="42" t="n">
        <v>1</v>
      </c>
      <c r="EQ11" s="40" t="n">
        <v>44868</v>
      </c>
      <c r="ER11" s="40" t="n">
        <v>44881</v>
      </c>
      <c r="ES11" s="41" t="n">
        <f aca="false">DATEDIF(EQ11,ER11,"D")</f>
        <v>13</v>
      </c>
      <c r="ET11" s="42" t="n">
        <v>3.9</v>
      </c>
      <c r="EU11" s="42" t="n">
        <v>1</v>
      </c>
      <c r="EV11" s="40" t="n">
        <v>44868</v>
      </c>
      <c r="EW11" s="40" t="n">
        <v>44872</v>
      </c>
      <c r="EX11" s="41" t="n">
        <f aca="false">DATEDIF(EV11,EW11,"D")</f>
        <v>4</v>
      </c>
      <c r="EY11" s="42" t="n">
        <v>0</v>
      </c>
      <c r="EZ11" s="42" t="s">
        <v>301</v>
      </c>
      <c r="FA11" s="42" t="s">
        <v>301</v>
      </c>
      <c r="FB11" s="42" t="n">
        <v>1</v>
      </c>
      <c r="FC11" s="40" t="n">
        <v>44869</v>
      </c>
      <c r="FD11" s="40" t="n">
        <v>44875</v>
      </c>
      <c r="FE11" s="42" t="n">
        <v>6</v>
      </c>
      <c r="FF11" s="42" t="n">
        <v>1</v>
      </c>
      <c r="FG11" s="40" t="n">
        <v>44862</v>
      </c>
      <c r="FH11" s="40" t="n">
        <v>44874</v>
      </c>
      <c r="FI11" s="41" t="n">
        <f aca="false">DATEDIF(FG11,FH11,"d")</f>
        <v>12</v>
      </c>
      <c r="FJ11" s="42" t="n">
        <v>7</v>
      </c>
      <c r="FK11" s="42" t="n">
        <v>0</v>
      </c>
      <c r="FL11" s="42" t="n">
        <v>0.2</v>
      </c>
      <c r="FM11" s="42" t="n">
        <v>8.7</v>
      </c>
      <c r="FN11" s="42" t="n">
        <v>1</v>
      </c>
      <c r="FO11" s="42" t="n">
        <v>28.5</v>
      </c>
      <c r="FP11" s="42" t="n">
        <v>1</v>
      </c>
      <c r="FQ11" s="42" t="n">
        <v>35</v>
      </c>
      <c r="FR11" s="42" t="n">
        <v>18</v>
      </c>
      <c r="FS11" s="42" t="n">
        <v>0</v>
      </c>
      <c r="FT11" s="48" t="s">
        <v>342</v>
      </c>
      <c r="FU11" s="48" t="s">
        <v>301</v>
      </c>
      <c r="FV11" s="40" t="n">
        <v>44864</v>
      </c>
      <c r="FW11" s="39" t="s">
        <v>325</v>
      </c>
      <c r="FX11" s="42" t="n">
        <v>1</v>
      </c>
      <c r="FY11" s="42" t="s">
        <v>311</v>
      </c>
      <c r="FZ11" s="39" t="s">
        <v>311</v>
      </c>
      <c r="GA11" s="42" t="n">
        <v>0</v>
      </c>
      <c r="GB11" s="48" t="s">
        <v>357</v>
      </c>
      <c r="GC11" s="42" t="n">
        <v>0</v>
      </c>
      <c r="GD11" s="42" t="n">
        <v>0</v>
      </c>
      <c r="GE11" s="42" t="n">
        <v>0</v>
      </c>
      <c r="GF11" s="42" t="n">
        <v>0</v>
      </c>
      <c r="GG11" s="42" t="n">
        <v>0</v>
      </c>
      <c r="GH11" s="42" t="n">
        <v>1</v>
      </c>
      <c r="GI11" s="42" t="n">
        <v>0</v>
      </c>
      <c r="GJ11" s="39" t="s">
        <v>312</v>
      </c>
      <c r="GK11" s="42" t="n">
        <v>0</v>
      </c>
      <c r="GL11" s="42" t="n">
        <v>0</v>
      </c>
      <c r="GM11" s="42" t="n">
        <v>1</v>
      </c>
      <c r="GN11" s="42" t="n">
        <v>0</v>
      </c>
      <c r="GO11" s="42" t="n">
        <v>0</v>
      </c>
      <c r="GP11" s="42" t="n">
        <v>0</v>
      </c>
      <c r="GQ11" s="42" t="n">
        <v>0</v>
      </c>
      <c r="GR11" s="42" t="n">
        <v>0</v>
      </c>
      <c r="GS11" s="42" t="n">
        <v>1</v>
      </c>
      <c r="GT11" s="42" t="n">
        <v>0</v>
      </c>
      <c r="GU11" s="42" t="n">
        <v>1</v>
      </c>
      <c r="GV11" s="42" t="n">
        <v>3</v>
      </c>
      <c r="GW11" s="42" t="n">
        <v>0</v>
      </c>
      <c r="GX11" s="42" t="n">
        <v>1</v>
      </c>
      <c r="GY11" s="42" t="n">
        <v>0</v>
      </c>
      <c r="GZ11" s="42" t="n">
        <v>0</v>
      </c>
      <c r="HA11" s="42" t="n">
        <v>0</v>
      </c>
      <c r="HB11" s="42" t="n">
        <v>1</v>
      </c>
      <c r="HC11" s="42" t="n">
        <v>0</v>
      </c>
      <c r="HD11" s="42" t="n">
        <v>0</v>
      </c>
      <c r="HE11" s="42" t="n">
        <v>0</v>
      </c>
      <c r="HF11" s="42" t="n">
        <v>0</v>
      </c>
      <c r="HG11" s="42" t="n">
        <v>0</v>
      </c>
      <c r="HH11" s="42" t="n">
        <v>1</v>
      </c>
      <c r="HI11" s="42" t="n">
        <v>1</v>
      </c>
      <c r="HJ11" s="42" t="n">
        <v>0</v>
      </c>
      <c r="HK11" s="42" t="n">
        <v>1</v>
      </c>
      <c r="HL11" s="39" t="s">
        <v>411</v>
      </c>
      <c r="HM11" s="39"/>
      <c r="HN11" s="42" t="n">
        <v>0</v>
      </c>
      <c r="HO11" s="42" t="n">
        <v>0</v>
      </c>
      <c r="HP11" s="42" t="n">
        <v>0</v>
      </c>
      <c r="HQ11" s="42" t="s">
        <v>301</v>
      </c>
      <c r="HR11" s="42" t="n">
        <v>0</v>
      </c>
      <c r="HS11" s="42" t="n">
        <v>1</v>
      </c>
      <c r="HT11" s="42" t="n">
        <v>10</v>
      </c>
      <c r="HU11" s="42" t="n">
        <v>7.7</v>
      </c>
      <c r="HV11" s="42" t="n">
        <v>0</v>
      </c>
      <c r="HW11" s="42" t="n">
        <v>0</v>
      </c>
      <c r="HX11" s="42" t="n">
        <v>1</v>
      </c>
      <c r="HY11" s="42" t="s">
        <v>301</v>
      </c>
      <c r="HZ11" s="42" t="n">
        <v>1</v>
      </c>
      <c r="IA11" s="42" t="n">
        <v>0</v>
      </c>
      <c r="IB11" s="39" t="s">
        <v>367</v>
      </c>
      <c r="IC11" s="42" t="n">
        <v>1</v>
      </c>
      <c r="ID11" s="42" t="n">
        <v>1</v>
      </c>
      <c r="IE11" s="42" t="n">
        <v>1</v>
      </c>
      <c r="IF11" s="42" t="n">
        <v>0</v>
      </c>
      <c r="IG11" s="42" t="n">
        <v>0</v>
      </c>
      <c r="IH11" s="42" t="n">
        <v>1</v>
      </c>
      <c r="II11" s="42" t="n">
        <v>0</v>
      </c>
      <c r="IJ11" s="42" t="n">
        <v>1</v>
      </c>
      <c r="IK11" s="42" t="n">
        <v>1</v>
      </c>
      <c r="IL11" s="42" t="n">
        <v>0</v>
      </c>
      <c r="IM11" s="42" t="n">
        <v>1</v>
      </c>
      <c r="IN11" s="42" t="n">
        <v>0</v>
      </c>
      <c r="IO11" s="42" t="n">
        <v>0</v>
      </c>
      <c r="IP11" s="42" t="n">
        <v>1</v>
      </c>
      <c r="IQ11" s="42" t="n">
        <v>0</v>
      </c>
      <c r="IR11" s="42" t="n">
        <v>1</v>
      </c>
      <c r="IS11" s="42" t="n">
        <v>0</v>
      </c>
      <c r="IT11" s="42" t="n">
        <v>1</v>
      </c>
      <c r="IU11" s="42" t="n">
        <v>0</v>
      </c>
      <c r="IV11" s="42" t="s">
        <v>412</v>
      </c>
      <c r="IW11" s="42"/>
      <c r="IX11" s="42" t="s">
        <v>347</v>
      </c>
      <c r="IY11" s="42" t="n">
        <v>0</v>
      </c>
      <c r="IZ11" s="42" t="s">
        <v>301</v>
      </c>
      <c r="JA11" s="42" t="n">
        <v>0</v>
      </c>
      <c r="JB11" s="39" t="s">
        <v>413</v>
      </c>
      <c r="JC11" s="42" t="n">
        <v>1</v>
      </c>
      <c r="JD11" s="42" t="n">
        <v>0</v>
      </c>
      <c r="JE11" s="42" t="n">
        <v>0</v>
      </c>
      <c r="JF11" s="42" t="n">
        <v>1</v>
      </c>
      <c r="JG11" s="42" t="n">
        <v>0</v>
      </c>
      <c r="JH11" s="42" t="n">
        <v>0</v>
      </c>
      <c r="JI11" s="42" t="n">
        <v>1</v>
      </c>
      <c r="JJ11" s="42" t="n">
        <v>0</v>
      </c>
      <c r="JK11" s="42" t="n">
        <v>1</v>
      </c>
      <c r="JL11" s="42" t="s">
        <v>414</v>
      </c>
      <c r="JM11" s="42" t="n">
        <v>0</v>
      </c>
      <c r="JN11" s="42" t="n">
        <v>0</v>
      </c>
      <c r="JO11" s="42" t="n">
        <v>0</v>
      </c>
      <c r="JP11" s="42" t="n">
        <v>0</v>
      </c>
      <c r="JQ11" s="42" t="n">
        <v>1</v>
      </c>
      <c r="JR11" s="42" t="n">
        <v>0</v>
      </c>
      <c r="JS11" s="42" t="n">
        <v>0</v>
      </c>
      <c r="JT11" s="42" t="n">
        <v>0</v>
      </c>
      <c r="JU11" s="42" t="n">
        <v>0</v>
      </c>
      <c r="JV11" s="42" t="n">
        <v>0</v>
      </c>
      <c r="JW11" s="42" t="n">
        <v>1</v>
      </c>
      <c r="JX11" s="42" t="n">
        <v>0</v>
      </c>
      <c r="JY11" s="42" t="n">
        <v>0</v>
      </c>
      <c r="JZ11" s="42" t="n">
        <v>0</v>
      </c>
      <c r="KA11" s="47" t="n">
        <v>3</v>
      </c>
      <c r="KB11" s="42" t="n">
        <v>1</v>
      </c>
      <c r="KC11" s="42" t="n">
        <v>1</v>
      </c>
      <c r="KD11" s="42" t="n">
        <v>0</v>
      </c>
      <c r="KE11" s="42" t="n">
        <v>1</v>
      </c>
      <c r="KF11" s="40" t="n">
        <v>45090</v>
      </c>
      <c r="KG11" s="42" t="n">
        <v>1</v>
      </c>
      <c r="KH11" s="42" t="n">
        <v>1</v>
      </c>
      <c r="KI11" s="42" t="n">
        <v>0</v>
      </c>
      <c r="KJ11" s="42" t="n">
        <v>0</v>
      </c>
      <c r="KK11" s="42" t="n">
        <v>0</v>
      </c>
      <c r="KL11" s="39" t="s">
        <v>400</v>
      </c>
    </row>
    <row r="12" customFormat="false" ht="15.75" hidden="false" customHeight="true" outlineLevel="0" collapsed="false">
      <c r="A12" s="39" t="s">
        <v>415</v>
      </c>
      <c r="B12" s="39" t="s">
        <v>299</v>
      </c>
      <c r="C12" s="40" t="n">
        <v>34279</v>
      </c>
      <c r="D12" s="41" t="n">
        <f aca="false">DATEDIF(C12,E12,"y")</f>
        <v>29</v>
      </c>
      <c r="E12" s="40" t="n">
        <v>45235</v>
      </c>
      <c r="F12" s="39" t="s">
        <v>336</v>
      </c>
      <c r="G12" s="42" t="n">
        <v>1</v>
      </c>
      <c r="H12" s="39" t="s">
        <v>373</v>
      </c>
      <c r="I12" s="42" t="n">
        <v>0</v>
      </c>
      <c r="J12" s="39" t="s">
        <v>302</v>
      </c>
      <c r="K12" s="42" t="n">
        <v>107</v>
      </c>
      <c r="L12" s="42" t="n">
        <v>166</v>
      </c>
      <c r="M12" s="42" t="n">
        <f aca="false">K12/(L12/100)^2</f>
        <v>38.8300188706634</v>
      </c>
      <c r="N12" s="42" t="n">
        <v>1</v>
      </c>
      <c r="O12" s="40" t="n">
        <v>45227</v>
      </c>
      <c r="P12" s="40" t="n">
        <v>45234</v>
      </c>
      <c r="Q12" s="40" t="n">
        <v>45279</v>
      </c>
      <c r="R12" s="40" t="n">
        <v>45294</v>
      </c>
      <c r="S12" s="42" t="n">
        <v>0</v>
      </c>
      <c r="T12" s="42" t="n">
        <v>0</v>
      </c>
      <c r="U12" s="40" t="s">
        <v>301</v>
      </c>
      <c r="V12" s="42" t="s">
        <v>303</v>
      </c>
      <c r="W12" s="40" t="n">
        <v>45222</v>
      </c>
      <c r="X12" s="42" t="n">
        <v>1</v>
      </c>
      <c r="Y12" s="42" t="s">
        <v>304</v>
      </c>
      <c r="Z12" s="42" t="n">
        <v>2</v>
      </c>
      <c r="AA12" s="42" t="n">
        <v>1</v>
      </c>
      <c r="AB12" s="42" t="s">
        <v>416</v>
      </c>
      <c r="AC12" s="42" t="n">
        <v>1</v>
      </c>
      <c r="AD12" s="42" t="s">
        <v>306</v>
      </c>
      <c r="AE12" s="42" t="n">
        <v>0</v>
      </c>
      <c r="AF12" s="42" t="s">
        <v>301</v>
      </c>
      <c r="AG12" s="41" t="n">
        <v>0</v>
      </c>
      <c r="AH12" s="42" t="s">
        <v>301</v>
      </c>
      <c r="AI12" s="41" t="n">
        <v>0</v>
      </c>
      <c r="AJ12" s="42" t="s">
        <v>301</v>
      </c>
      <c r="AK12" s="41" t="n">
        <v>0</v>
      </c>
      <c r="AL12" s="42" t="s">
        <v>301</v>
      </c>
      <c r="AM12" s="42" t="n">
        <v>0</v>
      </c>
      <c r="AN12" s="40" t="n">
        <v>45226</v>
      </c>
      <c r="AO12" s="42" t="s">
        <v>417</v>
      </c>
      <c r="AP12" s="42" t="s">
        <v>307</v>
      </c>
      <c r="AQ12" s="42" t="n">
        <v>0</v>
      </c>
      <c r="AR12" s="42" t="n">
        <v>1</v>
      </c>
      <c r="AS12" s="40" t="n">
        <v>45223</v>
      </c>
      <c r="AT12" s="40" t="n">
        <v>45226</v>
      </c>
      <c r="AU12" s="42" t="n">
        <v>0</v>
      </c>
      <c r="AV12" s="41" t="s">
        <v>301</v>
      </c>
      <c r="AW12" s="41" t="s">
        <v>301</v>
      </c>
      <c r="AX12" s="42" t="n">
        <v>1</v>
      </c>
      <c r="AY12" s="40" t="n">
        <v>45226</v>
      </c>
      <c r="AZ12" s="40" t="n">
        <v>45233</v>
      </c>
      <c r="BA12" s="42" t="n">
        <v>0</v>
      </c>
      <c r="BB12" s="40" t="s">
        <v>301</v>
      </c>
      <c r="BC12" s="40" t="s">
        <v>301</v>
      </c>
      <c r="BD12" s="42" t="n">
        <v>0</v>
      </c>
      <c r="BE12" s="41" t="s">
        <v>301</v>
      </c>
      <c r="BF12" s="41" t="s">
        <v>301</v>
      </c>
      <c r="BG12" s="42" t="n">
        <v>0</v>
      </c>
      <c r="BH12" s="41" t="s">
        <v>301</v>
      </c>
      <c r="BI12" s="42" t="s">
        <v>301</v>
      </c>
      <c r="BJ12" s="42" t="n">
        <v>0</v>
      </c>
      <c r="BK12" s="39" t="s">
        <v>301</v>
      </c>
      <c r="BL12" s="39" t="s">
        <v>301</v>
      </c>
      <c r="BM12" s="42" t="n">
        <v>0</v>
      </c>
      <c r="BN12" s="41" t="s">
        <v>301</v>
      </c>
      <c r="BO12" s="41" t="s">
        <v>301</v>
      </c>
      <c r="BP12" s="42" t="n">
        <v>1</v>
      </c>
      <c r="BQ12" s="40" t="n">
        <v>45226</v>
      </c>
      <c r="BR12" s="40" t="n">
        <v>45229</v>
      </c>
      <c r="BS12" s="42" t="n">
        <v>0</v>
      </c>
      <c r="BT12" s="40" t="s">
        <v>301</v>
      </c>
      <c r="BU12" s="41" t="s">
        <v>301</v>
      </c>
      <c r="BV12" s="42" t="n">
        <v>0</v>
      </c>
      <c r="BW12" s="40" t="s">
        <v>301</v>
      </c>
      <c r="BX12" s="40" t="s">
        <v>301</v>
      </c>
      <c r="BY12" s="42" t="n">
        <v>0</v>
      </c>
      <c r="BZ12" s="40" t="s">
        <v>301</v>
      </c>
      <c r="CA12" s="40" t="s">
        <v>301</v>
      </c>
      <c r="CB12" s="42" t="n">
        <v>0</v>
      </c>
      <c r="CC12" s="40"/>
      <c r="CD12" s="40"/>
      <c r="CE12" s="42" t="n">
        <v>0</v>
      </c>
      <c r="CF12" s="42" t="s">
        <v>301</v>
      </c>
      <c r="CG12" s="42" t="s">
        <v>301</v>
      </c>
      <c r="CH12" s="42" t="n">
        <v>0</v>
      </c>
      <c r="CI12" s="41" t="s">
        <v>301</v>
      </c>
      <c r="CJ12" s="41" t="s">
        <v>301</v>
      </c>
      <c r="CK12" s="42" t="n">
        <v>0</v>
      </c>
      <c r="CL12" s="40" t="s">
        <v>301</v>
      </c>
      <c r="CM12" s="40" t="s">
        <v>301</v>
      </c>
      <c r="CN12" s="42" t="n">
        <v>0</v>
      </c>
      <c r="CO12" s="41" t="s">
        <v>301</v>
      </c>
      <c r="CP12" s="41" t="s">
        <v>301</v>
      </c>
      <c r="CQ12" s="42" t="n">
        <v>0</v>
      </c>
      <c r="CR12" s="40" t="s">
        <v>301</v>
      </c>
      <c r="CS12" s="40" t="s">
        <v>301</v>
      </c>
      <c r="CT12" s="42" t="n">
        <v>0</v>
      </c>
      <c r="CU12" s="40" t="s">
        <v>301</v>
      </c>
      <c r="CV12" s="40" t="s">
        <v>301</v>
      </c>
      <c r="CW12" s="42" t="n">
        <v>0</v>
      </c>
      <c r="CX12" s="42" t="n">
        <v>0</v>
      </c>
      <c r="CY12" s="42" t="n">
        <v>1</v>
      </c>
      <c r="CZ12" s="40" t="n">
        <v>45223</v>
      </c>
      <c r="DA12" s="40" t="n">
        <v>45225</v>
      </c>
      <c r="DB12" s="42" t="n">
        <v>0</v>
      </c>
      <c r="DC12" s="40" t="s">
        <v>301</v>
      </c>
      <c r="DD12" s="42" t="n">
        <v>0</v>
      </c>
      <c r="DE12" s="42" t="n">
        <v>0</v>
      </c>
      <c r="DF12" s="42" t="s">
        <v>301</v>
      </c>
      <c r="DG12" s="42" t="n">
        <v>0</v>
      </c>
      <c r="DH12" s="42" t="n">
        <v>0</v>
      </c>
      <c r="DI12" s="42" t="n">
        <v>0</v>
      </c>
      <c r="DJ12" s="42" t="n">
        <v>0</v>
      </c>
      <c r="DK12" s="42" t="n">
        <v>0</v>
      </c>
      <c r="DL12" s="42" t="n">
        <v>0</v>
      </c>
      <c r="DM12" s="42" t="n">
        <v>0</v>
      </c>
      <c r="DN12" s="42" t="n">
        <v>0</v>
      </c>
      <c r="DO12" s="42" t="n">
        <v>0</v>
      </c>
      <c r="DP12" s="42" t="n">
        <v>0</v>
      </c>
      <c r="DQ12" s="42" t="n">
        <v>0</v>
      </c>
      <c r="DR12" s="42" t="n">
        <v>0</v>
      </c>
      <c r="DS12" s="42" t="n">
        <v>0</v>
      </c>
      <c r="DT12" s="42" t="n">
        <v>0</v>
      </c>
      <c r="DU12" s="42" t="n">
        <v>2</v>
      </c>
      <c r="DV12" s="42" t="n">
        <v>0</v>
      </c>
      <c r="DW12" s="42" t="n">
        <v>0</v>
      </c>
      <c r="DX12" s="42" t="n">
        <v>0</v>
      </c>
      <c r="DY12" s="42" t="n">
        <v>0</v>
      </c>
      <c r="DZ12" s="41" t="n">
        <v>2</v>
      </c>
      <c r="EA12" s="42" t="n">
        <v>1</v>
      </c>
      <c r="EB12" s="42" t="n">
        <v>1</v>
      </c>
      <c r="EC12" s="42" t="n">
        <v>1</v>
      </c>
      <c r="ED12" s="42" t="n">
        <v>1</v>
      </c>
      <c r="EE12" s="42" t="n">
        <v>0</v>
      </c>
      <c r="EF12" s="42" t="n">
        <v>0</v>
      </c>
      <c r="EG12" s="42" t="n">
        <v>0</v>
      </c>
      <c r="EH12" s="42" t="n">
        <v>2</v>
      </c>
      <c r="EI12" s="42" t="n">
        <v>4</v>
      </c>
      <c r="EJ12" s="42" t="n">
        <v>4</v>
      </c>
      <c r="EK12" s="42" t="n">
        <v>0</v>
      </c>
      <c r="EL12" s="42" t="n">
        <v>3</v>
      </c>
      <c r="EM12" s="42" t="n">
        <v>3</v>
      </c>
      <c r="EN12" s="42" t="n">
        <v>16</v>
      </c>
      <c r="EO12" s="42" t="n">
        <v>2</v>
      </c>
      <c r="EP12" s="42" t="n">
        <v>1</v>
      </c>
      <c r="EQ12" s="40" t="n">
        <v>44869</v>
      </c>
      <c r="ER12" s="40" t="n">
        <v>44883</v>
      </c>
      <c r="ES12" s="41" t="n">
        <f aca="false">DATEDIF(EQ12,ER12,"D")</f>
        <v>14</v>
      </c>
      <c r="ET12" s="42" t="n">
        <v>2.4</v>
      </c>
      <c r="EU12" s="42" t="n">
        <v>1</v>
      </c>
      <c r="EV12" s="40" t="n">
        <v>44869</v>
      </c>
      <c r="EW12" s="40" t="n">
        <v>44874</v>
      </c>
      <c r="EX12" s="41" t="n">
        <f aca="false">DATEDIF(EV12,EW12,"D")</f>
        <v>5</v>
      </c>
      <c r="EY12" s="42" t="n">
        <v>1</v>
      </c>
      <c r="EZ12" s="40" t="n">
        <v>44870</v>
      </c>
      <c r="FA12" s="49" t="n">
        <v>44895</v>
      </c>
      <c r="FB12" s="42" t="n">
        <v>0</v>
      </c>
      <c r="FC12" s="40" t="s">
        <v>301</v>
      </c>
      <c r="FD12" s="40" t="s">
        <v>301</v>
      </c>
      <c r="FE12" s="42" t="s">
        <v>301</v>
      </c>
      <c r="FF12" s="42" t="n">
        <v>1</v>
      </c>
      <c r="FG12" s="40" t="n">
        <v>45233</v>
      </c>
      <c r="FH12" s="40" t="n">
        <v>45247</v>
      </c>
      <c r="FI12" s="41" t="n">
        <f aca="false">DATEDIF(FG12,FH12,"d")</f>
        <v>14</v>
      </c>
      <c r="FJ12" s="42" t="n">
        <v>8</v>
      </c>
      <c r="FK12" s="42" t="n">
        <v>0</v>
      </c>
      <c r="FL12" s="42" t="n">
        <v>0.2</v>
      </c>
      <c r="FM12" s="42" t="n">
        <v>6.7</v>
      </c>
      <c r="FN12" s="42" t="n">
        <v>1</v>
      </c>
      <c r="FO12" s="42" t="n">
        <v>22</v>
      </c>
      <c r="FP12" s="42" t="n">
        <v>1</v>
      </c>
      <c r="FQ12" s="42" t="s">
        <v>301</v>
      </c>
      <c r="FR12" s="42" t="n">
        <v>10</v>
      </c>
      <c r="FS12" s="42" t="n">
        <v>0</v>
      </c>
      <c r="FT12" s="48" t="s">
        <v>342</v>
      </c>
      <c r="FU12" s="48" t="s">
        <v>301</v>
      </c>
      <c r="FV12" s="40" t="n">
        <v>44869</v>
      </c>
      <c r="FW12" s="39" t="s">
        <v>310</v>
      </c>
      <c r="FX12" s="42" t="n">
        <v>1</v>
      </c>
      <c r="FY12" s="42" t="s">
        <v>377</v>
      </c>
      <c r="FZ12" s="39" t="s">
        <v>311</v>
      </c>
      <c r="GA12" s="42" t="n">
        <v>0</v>
      </c>
      <c r="GB12" s="48" t="s">
        <v>301</v>
      </c>
      <c r="GC12" s="42" t="n">
        <v>0</v>
      </c>
      <c r="GD12" s="42" t="n">
        <v>0</v>
      </c>
      <c r="GE12" s="42" t="n">
        <v>0</v>
      </c>
      <c r="GF12" s="42" t="n">
        <v>0</v>
      </c>
      <c r="GG12" s="42" t="n">
        <v>1</v>
      </c>
      <c r="GH12" s="42" t="n">
        <v>1</v>
      </c>
      <c r="GI12" s="42" t="n">
        <v>0</v>
      </c>
      <c r="GJ12" s="39" t="s">
        <v>312</v>
      </c>
      <c r="GK12" s="42" t="n">
        <v>0</v>
      </c>
      <c r="GL12" s="42" t="n">
        <v>0</v>
      </c>
      <c r="GM12" s="42" t="n">
        <v>1</v>
      </c>
      <c r="GN12" s="42" t="n">
        <v>0</v>
      </c>
      <c r="GO12" s="42" t="n">
        <v>0</v>
      </c>
      <c r="GP12" s="42" t="n">
        <v>0</v>
      </c>
      <c r="GQ12" s="42" t="n">
        <v>0</v>
      </c>
      <c r="GR12" s="42" t="n">
        <v>0</v>
      </c>
      <c r="GS12" s="42" t="n">
        <v>1</v>
      </c>
      <c r="GT12" s="42" t="n">
        <v>0</v>
      </c>
      <c r="GU12" s="42" t="n">
        <v>1</v>
      </c>
      <c r="GV12" s="42" t="n">
        <v>1</v>
      </c>
      <c r="GW12" s="42" t="n">
        <v>0</v>
      </c>
      <c r="GX12" s="42" t="n">
        <v>1</v>
      </c>
      <c r="GY12" s="42" t="n">
        <v>0</v>
      </c>
      <c r="GZ12" s="42" t="n">
        <v>1</v>
      </c>
      <c r="HA12" s="42" t="n">
        <v>0</v>
      </c>
      <c r="HB12" s="42" t="n">
        <v>1</v>
      </c>
      <c r="HC12" s="42" t="n">
        <v>0</v>
      </c>
      <c r="HD12" s="42" t="n">
        <v>0</v>
      </c>
      <c r="HE12" s="42" t="n">
        <v>0</v>
      </c>
      <c r="HF12" s="42" t="n">
        <v>0</v>
      </c>
      <c r="HG12" s="42" t="n">
        <v>0</v>
      </c>
      <c r="HH12" s="42" t="n">
        <v>1</v>
      </c>
      <c r="HI12" s="42" t="n">
        <v>1</v>
      </c>
      <c r="HJ12" s="42" t="n">
        <v>0</v>
      </c>
      <c r="HK12" s="42" t="n">
        <v>1</v>
      </c>
      <c r="HL12" s="39" t="s">
        <v>411</v>
      </c>
      <c r="HM12" s="39"/>
      <c r="HN12" s="42" t="n">
        <v>0</v>
      </c>
      <c r="HO12" s="42" t="n">
        <v>0</v>
      </c>
      <c r="HP12" s="42" t="n">
        <v>0</v>
      </c>
      <c r="HQ12" s="42" t="s">
        <v>301</v>
      </c>
      <c r="HR12" s="42" t="n">
        <v>0</v>
      </c>
      <c r="HS12" s="42" t="n">
        <v>1</v>
      </c>
      <c r="HT12" s="42" t="n">
        <v>5</v>
      </c>
      <c r="HU12" s="42" t="n">
        <v>8</v>
      </c>
      <c r="HV12" s="42" t="n">
        <v>1</v>
      </c>
      <c r="HW12" s="42" t="n">
        <v>1</v>
      </c>
      <c r="HX12" s="42" t="n">
        <v>1</v>
      </c>
      <c r="HY12" s="42" t="n">
        <v>2</v>
      </c>
      <c r="HZ12" s="42" t="n">
        <v>0</v>
      </c>
      <c r="IA12" s="42" t="n">
        <v>0</v>
      </c>
      <c r="IB12" s="39" t="s">
        <v>367</v>
      </c>
      <c r="IC12" s="50" t="n">
        <v>0</v>
      </c>
      <c r="ID12" s="42" t="n">
        <v>1</v>
      </c>
      <c r="IE12" s="42" t="n">
        <v>1</v>
      </c>
      <c r="IF12" s="42" t="n">
        <v>0</v>
      </c>
      <c r="IG12" s="42" t="n">
        <v>0</v>
      </c>
      <c r="IH12" s="42" t="n">
        <v>1</v>
      </c>
      <c r="II12" s="42" t="n">
        <v>0</v>
      </c>
      <c r="IJ12" s="42" t="n">
        <v>1</v>
      </c>
      <c r="IK12" s="42" t="n">
        <v>0</v>
      </c>
      <c r="IL12" s="42" t="n">
        <v>0</v>
      </c>
      <c r="IM12" s="42" t="n">
        <v>1</v>
      </c>
      <c r="IN12" s="42" t="n">
        <v>0</v>
      </c>
      <c r="IO12" s="42" t="n">
        <v>0</v>
      </c>
      <c r="IP12" s="42" t="n">
        <v>1</v>
      </c>
      <c r="IQ12" s="42" t="n">
        <v>0</v>
      </c>
      <c r="IR12" s="42" t="n">
        <v>1</v>
      </c>
      <c r="IS12" s="42" t="n">
        <v>0</v>
      </c>
      <c r="IT12" s="42" t="n">
        <v>0</v>
      </c>
      <c r="IU12" s="42" t="n">
        <v>0</v>
      </c>
      <c r="IV12" s="42" t="s">
        <v>301</v>
      </c>
      <c r="IW12" s="42" t="s">
        <v>301</v>
      </c>
      <c r="IX12" s="42" t="s">
        <v>301</v>
      </c>
      <c r="IY12" s="42" t="s">
        <v>301</v>
      </c>
      <c r="IZ12" s="42" t="s">
        <v>301</v>
      </c>
      <c r="JA12" s="42" t="n">
        <v>0</v>
      </c>
      <c r="JB12" s="39" t="s">
        <v>418</v>
      </c>
      <c r="JC12" s="42" t="n">
        <v>1</v>
      </c>
      <c r="JD12" s="42" t="n">
        <v>0</v>
      </c>
      <c r="JE12" s="42" t="n">
        <v>1</v>
      </c>
      <c r="JF12" s="42" t="n">
        <v>0</v>
      </c>
      <c r="JG12" s="42" t="n">
        <v>0</v>
      </c>
      <c r="JH12" s="42" t="n">
        <v>0</v>
      </c>
      <c r="JI12" s="42" t="n">
        <v>1</v>
      </c>
      <c r="JJ12" s="42" t="n">
        <v>0</v>
      </c>
      <c r="JK12" s="42" t="n">
        <v>0</v>
      </c>
      <c r="JL12" s="42" t="s">
        <v>301</v>
      </c>
      <c r="JM12" s="42" t="n">
        <v>0</v>
      </c>
      <c r="JN12" s="42" t="n">
        <v>0</v>
      </c>
      <c r="JO12" s="42" t="n">
        <v>0</v>
      </c>
      <c r="JP12" s="42" t="n">
        <v>0</v>
      </c>
      <c r="JQ12" s="42" t="n">
        <v>0</v>
      </c>
      <c r="JR12" s="42" t="n">
        <v>0</v>
      </c>
      <c r="JS12" s="42" t="n">
        <v>1</v>
      </c>
      <c r="JT12" s="42" t="n">
        <v>0</v>
      </c>
      <c r="JU12" s="42" t="n">
        <v>1</v>
      </c>
      <c r="JV12" s="42" t="n">
        <v>0</v>
      </c>
      <c r="JW12" s="42" t="n">
        <v>1</v>
      </c>
      <c r="JX12" s="42" t="n">
        <v>0</v>
      </c>
      <c r="JY12" s="42" t="n">
        <v>0</v>
      </c>
      <c r="JZ12" s="42" t="n">
        <v>0</v>
      </c>
      <c r="KA12" s="47" t="n">
        <v>3</v>
      </c>
      <c r="KB12" s="42" t="n">
        <v>1</v>
      </c>
      <c r="KC12" s="42" t="n">
        <v>1</v>
      </c>
      <c r="KD12" s="42" t="n">
        <v>0</v>
      </c>
      <c r="KE12" s="42" t="n">
        <v>1</v>
      </c>
      <c r="KF12" s="40" t="n">
        <v>45644</v>
      </c>
      <c r="KG12" s="42" t="n">
        <v>0</v>
      </c>
      <c r="KH12" s="42" t="n">
        <v>0</v>
      </c>
      <c r="KI12" s="42" t="n">
        <v>0</v>
      </c>
      <c r="KJ12" s="42" t="n">
        <v>0</v>
      </c>
      <c r="KK12" s="42" t="n">
        <v>1</v>
      </c>
      <c r="KL12" s="39" t="s">
        <v>419</v>
      </c>
    </row>
  </sheetData>
  <dataValidations count="5">
    <dataValidation allowBlank="true" errorStyle="stop" operator="between" showDropDown="false" showErrorMessage="true" showInputMessage="false" sqref="FW2:FW12" type="list">
      <formula1>"0_Parfait,1_Très bon,2_Bon,3_Moyen,4_Mauvais,5_Très mauvais"</formula1>
      <formula2>0</formula2>
    </dataValidation>
    <dataValidation allowBlank="true" errorStyle="stop" operator="between" showDropDown="false" showErrorMessage="true" showInputMessage="false" sqref="J2:J12" type="list">
      <formula1>"F,H"</formula1>
      <formula2>0</formula2>
    </dataValidation>
    <dataValidation allowBlank="true" errorStyle="stop" operator="between" showDropDown="false" showErrorMessage="true" showInputMessage="false" sqref="GJ2:GJ12" type="list">
      <formula1>"E1proctite,E2angle gauche,E3angle droit ,E4colon droit,E5caecum,E6pancolite"</formula1>
      <formula2>0</formula2>
    </dataValidation>
    <dataValidation allowBlank="true" errorStyle="stop" operator="between" showDropDown="false" showErrorMessage="true" showInputMessage="false" sqref="FY2:FZ12" type="list">
      <formula1>"0_Non,1_Oui"</formula1>
      <formula2>0</formula2>
    </dataValidation>
    <dataValidation allowBlank="true" errorStyle="stop" operator="between" showDropDown="false" showErrorMessage="true" showInputMessage="false" sqref="FT2:FT12" type="list">
      <formula1>"Endoscopie pré-op,Endoscopie post op,Pas d'endoscopie"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2026-01-19T12:36:37Z</dcterms:created>
  <dc:creator>Microsoft Office User</dc:creator>
  <dc:description/>
  <dc:language>fr-FR</dc:language>
  <cp:lastModifiedBy/>
  <dcterms:modified xsi:type="dcterms:W3CDTF">2026-01-20T11:32:34Z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